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HU-RTU Units" sheetId="2" state="visible" r:id="rId4"/>
    <sheet name="Condensers &amp; Chillers" sheetId="3" state="visible" r:id="rId5"/>
    <sheet name="Exhaust &amp; Vent Fans" sheetId="4" state="visible" r:id="rId6"/>
    <sheet name="Pumps &amp; Hydronic Equip" sheetId="5" state="visible" r:id="rId7"/>
    <sheet name="Terminal Units &amp; Zones" sheetId="6" state="visible" r:id="rId8"/>
    <sheet name="Controls &amp; Instrumentation" sheetId="7" state="visible" r:id="rId9"/>
    <sheet name="Status &amp; Warranty" sheetId="8" state="visible" r:id="rId10"/>
    <sheet name="Summary &amp; Sign-Of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<sst xmlns="http://schemas.openxmlformats.org/spreadsheetml/2006/main" count="841" uniqueCount="443">
  <si>
    <t xml:space="preserve">Your HVAC Co.</t>
  </si>
  <si>
    <t xml:space="preserve">HVAC Equipment List</t>
  </si>
  <si>
    <t xml:space="preserve">HVAC EQUIPMENT LIST</t>
  </si>
  <si>
    <t xml:space="preserve">  📋  PROJECT INFORMATION</t>
  </si>
  <si>
    <t xml:space="preserve">Project Name:</t>
  </si>
  <si>
    <t xml:space="preserve">Project Number:</t>
  </si>
  <si>
    <t xml:space="preserve">Project Address:</t>
  </si>
  <si>
    <t xml:space="preserve">Equipment List Date:</t>
  </si>
  <si>
    <t xml:space="preserve">Building Type:</t>
  </si>
  <si>
    <t xml:space="preserve">Revision #:</t>
  </si>
  <si>
    <t xml:space="preserve">Owner / Client:</t>
  </si>
  <si>
    <t xml:space="preserve">Prepared By:</t>
  </si>
  <si>
    <t xml:space="preserve">Owner Contact:</t>
  </si>
  <si>
    <t xml:space="preserve">Company:</t>
  </si>
  <si>
    <t xml:space="preserve">Owner Phone / Email:</t>
  </si>
  <si>
    <t xml:space="preserve">Technician / Estimator:</t>
  </si>
  <si>
    <t xml:space="preserve">  ⚙️  FACILITY &amp; SYSTEM INFORMATION</t>
  </si>
  <si>
    <t xml:space="preserve">Building Name / Tag:</t>
  </si>
  <si>
    <t xml:space="preserve">Number of Systems:</t>
  </si>
  <si>
    <t xml:space="preserve">System Types Present:</t>
  </si>
  <si>
    <t xml:space="preserve">Number of Zones:</t>
  </si>
  <si>
    <t xml:space="preserve">Gross Sq. Footage:</t>
  </si>
  <si>
    <t xml:space="preserve">Year Built / Renovated:</t>
  </si>
  <si>
    <t xml:space="preserve">Mechanical Room Location:</t>
  </si>
  <si>
    <t xml:space="preserve">Construction Type:</t>
  </si>
  <si>
    <t xml:space="preserve">Design Standard (ASHRAE/SMACNA):</t>
  </si>
  <si>
    <t xml:space="preserve">Code Jurisdiction:</t>
  </si>
  <si>
    <t xml:space="preserve">  📝  DOCUMENT PURPOSE &amp; SCOPE</t>
  </si>
  <si>
    <t xml:space="preserve">   This HVAC Equipment List documents all mechanical equipment installed or proposed for this project.</t>
  </si>
  <si>
    <t xml:space="preserve">   It includes equipment tags, descriptions, capacities, manufacturers, model/serial numbers, and operational status.</t>
  </si>
  <si>
    <t xml:space="preserve">   Use this document alongside the Air Balance Report, Load Calculations, and Commissioning Checklist.</t>
  </si>
  <si>
    <t xml:space="preserve">   All equipment must be verified in the field and reconciled against submitted shop drawings and submittals.</t>
  </si>
  <si>
    <t xml:space="preserve">  ✅  CERTIFICATION &amp; SIGN-OFF</t>
  </si>
  <si>
    <t xml:space="preserve">Date:</t>
  </si>
  <si>
    <t xml:space="preserve">Reviewed By:</t>
  </si>
  <si>
    <t xml:space="preserve">Approved By:</t>
  </si>
  <si>
    <t xml:space="preserve">Client / Owner Acceptance:</t>
  </si>
  <si>
    <t xml:space="preserve">Your HVAC Co.  •  Rogers, AR  •  (479) 555-0100  •  www.yourhvacco.com</t>
  </si>
  <si>
    <t xml:space="preserve">  🏭  AIR HANDLING UNITS / ROOFTOP UNITS</t>
  </si>
  <si>
    <t xml:space="preserve">Equip Tag</t>
  </si>
  <si>
    <t xml:space="preserve">Description</t>
  </si>
  <si>
    <t xml:space="preserve">Location / Zone</t>
  </si>
  <si>
    <t xml:space="preserve">Manufacturer</t>
  </si>
  <si>
    <t xml:space="preserve">Model Number</t>
  </si>
  <si>
    <t xml:space="preserve">Serial Number</t>
  </si>
  <si>
    <t xml:space="preserve">Nom. Tons</t>
  </si>
  <si>
    <t xml:space="preserve">Supply CFM</t>
  </si>
  <si>
    <t xml:space="preserve">Return CFM</t>
  </si>
  <si>
    <t xml:space="preserve">Motor HP</t>
  </si>
  <si>
    <t xml:space="preserve">Voltage</t>
  </si>
  <si>
    <t xml:space="preserve">Refrigerant</t>
  </si>
  <si>
    <t xml:space="preserve">Status</t>
  </si>
  <si>
    <t xml:space="preserve">Notes</t>
  </si>
  <si>
    <t xml:space="preserve">AHU-1</t>
  </si>
  <si>
    <t xml:space="preserve">Air Handling Unit</t>
  </si>
  <si>
    <t xml:space="preserve">Mech Room – Level 1</t>
  </si>
  <si>
    <t xml:space="preserve">Active</t>
  </si>
  <si>
    <t xml:space="preserve">AHU-2</t>
  </si>
  <si>
    <t xml:space="preserve">Mech Room – Level 2</t>
  </si>
  <si>
    <t xml:space="preserve">RTU-1</t>
  </si>
  <si>
    <t xml:space="preserve">Rooftop Unit</t>
  </si>
  <si>
    <t xml:space="preserve">Roof – Zone A</t>
  </si>
  <si>
    <t xml:space="preserve">RTU-2</t>
  </si>
  <si>
    <t xml:space="preserve">Roof – Zone B</t>
  </si>
  <si>
    <t xml:space="preserve">RTU-3</t>
  </si>
  <si>
    <t xml:space="preserve">Roof – Zone C</t>
  </si>
  <si>
    <t xml:space="preserve">RTU-4</t>
  </si>
  <si>
    <t xml:space="preserve">Roof – Zone D</t>
  </si>
  <si>
    <t xml:space="preserve">MAU-1</t>
  </si>
  <si>
    <t xml:space="preserve">Makeup Air Unit</t>
  </si>
  <si>
    <t xml:space="preserve">Roof – Fresh Air</t>
  </si>
  <si>
    <t xml:space="preserve">ERU-1</t>
  </si>
  <si>
    <t xml:space="preserve">Energy Recovery Unit</t>
  </si>
  <si>
    <t xml:space="preserve">Penthouse</t>
  </si>
  <si>
    <t xml:space="preserve">FCU-1</t>
  </si>
  <si>
    <t xml:space="preserve">Fan Coil Unit</t>
  </si>
  <si>
    <t xml:space="preserve">Server Room</t>
  </si>
  <si>
    <t xml:space="preserve">FCU-2</t>
  </si>
  <si>
    <t xml:space="preserve">Conference Room A</t>
  </si>
  <si>
    <t xml:space="preserve">DOAS-1</t>
  </si>
  <si>
    <t xml:space="preserve">Dedicated OA System</t>
  </si>
  <si>
    <t xml:space="preserve">Mech Room – Roof</t>
  </si>
  <si>
    <t xml:space="preserve">WSHP-1</t>
  </si>
  <si>
    <t xml:space="preserve">Water Source Heat Pump</t>
  </si>
  <si>
    <t xml:space="preserve">Office Suite 100</t>
  </si>
  <si>
    <t xml:space="preserve">WSHP-2</t>
  </si>
  <si>
    <t xml:space="preserve">Office Suite 102</t>
  </si>
  <si>
    <t xml:space="preserve">WSHP-3</t>
  </si>
  <si>
    <t xml:space="preserve">Conference Room B</t>
  </si>
  <si>
    <t xml:space="preserve">WSHP-4</t>
  </si>
  <si>
    <t xml:space="preserve">Break Room</t>
  </si>
  <si>
    <t xml:space="preserve">TOTAL UNITS: 15</t>
  </si>
  <si>
    <t xml:space="preserve">  📊  UNIT SUMMARY</t>
  </si>
  <si>
    <t xml:space="preserve">Total AHU/MAU Units:</t>
  </si>
  <si>
    <t xml:space="preserve">Total RTU Units:</t>
  </si>
  <si>
    <t xml:space="preserve">Total FCU Units:</t>
  </si>
  <si>
    <t xml:space="preserve">Total WSHP Units:</t>
  </si>
  <si>
    <t xml:space="preserve">Active Units:</t>
  </si>
  <si>
    <t xml:space="preserve">Inactive / Offline:</t>
  </si>
  <si>
    <t xml:space="preserve">  ❄️  CONDENSING UNITS, CHILLERS &amp; COOLING TOWERS</t>
  </si>
  <si>
    <t xml:space="preserve">Location</t>
  </si>
  <si>
    <t xml:space="preserve">EER / COP</t>
  </si>
  <si>
    <t xml:space="preserve">GPM</t>
  </si>
  <si>
    <t xml:space="preserve">CU-1</t>
  </si>
  <si>
    <t xml:space="preserve">Condensing Unit</t>
  </si>
  <si>
    <t xml:space="preserve">Roof – North</t>
  </si>
  <si>
    <t xml:space="preserve">CU-2</t>
  </si>
  <si>
    <t xml:space="preserve">Roof – South</t>
  </si>
  <si>
    <t xml:space="preserve">CU-3</t>
  </si>
  <si>
    <t xml:space="preserve">Grade – East Pad</t>
  </si>
  <si>
    <t xml:space="preserve">CH-1</t>
  </si>
  <si>
    <t xml:space="preserve">Air-Cooled Chiller</t>
  </si>
  <si>
    <t xml:space="preserve">Roof</t>
  </si>
  <si>
    <t xml:space="preserve">CH-2</t>
  </si>
  <si>
    <t xml:space="preserve">Water-Cooled Chiller</t>
  </si>
  <si>
    <t xml:space="preserve">Chiller Plant</t>
  </si>
  <si>
    <t xml:space="preserve">CT-1</t>
  </si>
  <si>
    <t xml:space="preserve">Cooling Tower</t>
  </si>
  <si>
    <t xml:space="preserve">CT-2</t>
  </si>
  <si>
    <t xml:space="preserve">HP-1</t>
  </si>
  <si>
    <t xml:space="preserve">Heat Pump – Split Sys.</t>
  </si>
  <si>
    <t xml:space="preserve">HP-2</t>
  </si>
  <si>
    <t xml:space="preserve">IT Closet 101</t>
  </si>
  <si>
    <t xml:space="preserve">VRF-1</t>
  </si>
  <si>
    <t xml:space="preserve">VRF Outdoor Unit</t>
  </si>
  <si>
    <t xml:space="preserve">Roof – VRF Zone</t>
  </si>
  <si>
    <t xml:space="preserve">VRF-2</t>
  </si>
  <si>
    <t xml:space="preserve">GHP-1</t>
  </si>
  <si>
    <t xml:space="preserve">Geothermal Heat Pump</t>
  </si>
  <si>
    <t xml:space="preserve">Ground Loop – West</t>
  </si>
  <si>
    <t xml:space="preserve">TOTAL UNITS: 12</t>
  </si>
  <si>
    <t xml:space="preserve">  🧊  REFRIGERANT INVENTORY SUMMARY</t>
  </si>
  <si>
    <t xml:space="preserve">Refrigerant Type</t>
  </si>
  <si>
    <t xml:space="preserve"># Units Using</t>
  </si>
  <si>
    <t xml:space="preserve">Total Charge (lbs)</t>
  </si>
  <si>
    <t xml:space="preserve">EPA 608 Required</t>
  </si>
  <si>
    <t xml:space="preserve">Technician Certified</t>
  </si>
  <si>
    <t xml:space="preserve">R-410A</t>
  </si>
  <si>
    <t xml:space="preserve">Yes</t>
  </si>
  <si>
    <t xml:space="preserve">R-32</t>
  </si>
  <si>
    <t xml:space="preserve">R-22 (Legacy)</t>
  </si>
  <si>
    <t xml:space="preserve">R-454B</t>
  </si>
  <si>
    <t xml:space="preserve">  💨  EXHAUST FANS, VENTILATION FANS &amp; POWER VENTILATORS</t>
  </si>
  <si>
    <t xml:space="preserve">Serving / Location</t>
  </si>
  <si>
    <t xml:space="preserve">Design CFM</t>
  </si>
  <si>
    <t xml:space="preserve">Meas. CFM</t>
  </si>
  <si>
    <t xml:space="preserve">Fan RPM</t>
  </si>
  <si>
    <t xml:space="preserve">SP (in.wg)</t>
  </si>
  <si>
    <t xml:space="preserve">EF-1</t>
  </si>
  <si>
    <t xml:space="preserve">Exhaust Fan – General</t>
  </si>
  <si>
    <t xml:space="preserve">Restrooms Level 1</t>
  </si>
  <si>
    <t xml:space="preserve">EF-2</t>
  </si>
  <si>
    <t xml:space="preserve">Restrooms Level 2</t>
  </si>
  <si>
    <t xml:space="preserve">EF-3</t>
  </si>
  <si>
    <t xml:space="preserve">Exhaust Fan – Kitchen</t>
  </si>
  <si>
    <t xml:space="preserve">EF-4</t>
  </si>
  <si>
    <t xml:space="preserve">Exhaust Fan – Lab</t>
  </si>
  <si>
    <t xml:space="preserve">Lab 101</t>
  </si>
  <si>
    <t xml:space="preserve">EF-5</t>
  </si>
  <si>
    <t xml:space="preserve">Exhaust Fan – Parking</t>
  </si>
  <si>
    <t xml:space="preserve">Parking Garage</t>
  </si>
  <si>
    <t xml:space="preserve">PV-1</t>
  </si>
  <si>
    <t xml:space="preserve">Power Ventilator – Supply</t>
  </si>
  <si>
    <t xml:space="preserve">Gym / Large Assembly</t>
  </si>
  <si>
    <t xml:space="preserve">PV-2</t>
  </si>
  <si>
    <t xml:space="preserve">Power Ventilator – Return</t>
  </si>
  <si>
    <t xml:space="preserve">TF-1</t>
  </si>
  <si>
    <t xml:space="preserve">Toilet Exhaust Fan</t>
  </si>
  <si>
    <t xml:space="preserve">Janitor Closet</t>
  </si>
  <si>
    <t xml:space="preserve">TF-2</t>
  </si>
  <si>
    <t xml:space="preserve">Shower Rm – East</t>
  </si>
  <si>
    <t xml:space="preserve">TF-3</t>
  </si>
  <si>
    <t xml:space="preserve">Shower Rm – West</t>
  </si>
  <si>
    <t xml:space="preserve">ERV-1</t>
  </si>
  <si>
    <t xml:space="preserve">Energy Recovery Ventilator</t>
  </si>
  <si>
    <t xml:space="preserve">ERV-2</t>
  </si>
  <si>
    <t xml:space="preserve">HRV-1</t>
  </si>
  <si>
    <t xml:space="preserve">Heat Recovery Ventilator</t>
  </si>
  <si>
    <t xml:space="preserve">Mechanical Penthouse</t>
  </si>
  <si>
    <t xml:space="preserve">PCV-1</t>
  </si>
  <si>
    <t xml:space="preserve">Pressure Control Damper</t>
  </si>
  <si>
    <t xml:space="preserve">Corridor Spine</t>
  </si>
  <si>
    <t xml:space="preserve">RVF-1</t>
  </si>
  <si>
    <t xml:space="preserve">Roof-Mounted Ventilator</t>
  </si>
  <si>
    <t xml:space="preserve">Warehouse / Storage</t>
  </si>
  <si>
    <t xml:space="preserve">SYSTEM TOTALS</t>
  </si>
  <si>
    <t xml:space="preserve">  💧  PUMPS, BOILERS &amp; HYDRONIC SYSTEM EQUIPMENT</t>
  </si>
  <si>
    <t xml:space="preserve">System / Location</t>
  </si>
  <si>
    <t xml:space="preserve">Design GPM</t>
  </si>
  <si>
    <t xml:space="preserve">Design ∆P (ft)</t>
  </si>
  <si>
    <t xml:space="preserve">RPM</t>
  </si>
  <si>
    <t xml:space="preserve">Impeller Dia.</t>
  </si>
  <si>
    <t xml:space="preserve">Conn. Size</t>
  </si>
  <si>
    <t xml:space="preserve">P-1</t>
  </si>
  <si>
    <t xml:space="preserve">Chilled Water Pump – Primary</t>
  </si>
  <si>
    <t xml:space="preserve">P-2</t>
  </si>
  <si>
    <t xml:space="preserve">Chilled Water Pump – Secondary</t>
  </si>
  <si>
    <t xml:space="preserve">P-3</t>
  </si>
  <si>
    <t xml:space="preserve">Condenser Water Pump</t>
  </si>
  <si>
    <t xml:space="preserve">P-4</t>
  </si>
  <si>
    <t xml:space="preserve">Hot Water Pump – Primary</t>
  </si>
  <si>
    <t xml:space="preserve">Boiler Room</t>
  </si>
  <si>
    <t xml:space="preserve">P-5</t>
  </si>
  <si>
    <t xml:space="preserve">Hot Water Pump – Secondary</t>
  </si>
  <si>
    <t xml:space="preserve">P-6</t>
  </si>
  <si>
    <t xml:space="preserve">Domestic HW Circulator</t>
  </si>
  <si>
    <t xml:space="preserve">Mech Room</t>
  </si>
  <si>
    <t xml:space="preserve">B-1</t>
  </si>
  <si>
    <t xml:space="preserve">Gas-Fired Boiler</t>
  </si>
  <si>
    <t xml:space="preserve">B-2</t>
  </si>
  <si>
    <t xml:space="preserve">HX-1</t>
  </si>
  <si>
    <t xml:space="preserve">Plate &amp; Frame Heat Exchanger</t>
  </si>
  <si>
    <t xml:space="preserve">HX-2</t>
  </si>
  <si>
    <t xml:space="preserve">Shell &amp; Tube Heat Exchanger</t>
  </si>
  <si>
    <t xml:space="preserve">EXP-1</t>
  </si>
  <si>
    <t xml:space="preserve">Expansion Tank – CW</t>
  </si>
  <si>
    <t xml:space="preserve">EXP-2</t>
  </si>
  <si>
    <t xml:space="preserve">Expansion Tank – HW</t>
  </si>
  <si>
    <t xml:space="preserve">PRV-1</t>
  </si>
  <si>
    <t xml:space="preserve">Pressure Reducing Valve</t>
  </si>
  <si>
    <t xml:space="preserve">Mech Room Manifold</t>
  </si>
  <si>
    <t xml:space="preserve">VFD-P1</t>
  </si>
  <si>
    <t xml:space="preserve">VFD – Chilled Water Pump</t>
  </si>
  <si>
    <t xml:space="preserve">MCC Panel / Chiller Plant</t>
  </si>
  <si>
    <t xml:space="preserve">VFD-P4</t>
  </si>
  <si>
    <t xml:space="preserve">VFD – Hot Water Pump</t>
  </si>
  <si>
    <t xml:space="preserve">MCC Panel / Boiler Room</t>
  </si>
  <si>
    <t xml:space="preserve">  🌡️  VAV BOXES, FAN COILS, TERMINAL UNITS &amp; ZONE EQUIPMENT</t>
  </si>
  <si>
    <t xml:space="preserve">Zone / Room</t>
  </si>
  <si>
    <t xml:space="preserve">Min CFM</t>
  </si>
  <si>
    <t xml:space="preserve">Max CFM</t>
  </si>
  <si>
    <t xml:space="preserve">Htg kW / MBH</t>
  </si>
  <si>
    <t xml:space="preserve">Ctrl Type</t>
  </si>
  <si>
    <t xml:space="preserve">Thermostat</t>
  </si>
  <si>
    <t xml:space="preserve">VAV-101</t>
  </si>
  <si>
    <t xml:space="preserve">VAV Box – Cooling Only</t>
  </si>
  <si>
    <t xml:space="preserve">Office 101</t>
  </si>
  <si>
    <t xml:space="preserve">DDC</t>
  </si>
  <si>
    <t xml:space="preserve">VAV-102</t>
  </si>
  <si>
    <t xml:space="preserve">Office 102</t>
  </si>
  <si>
    <t xml:space="preserve">VAV-103</t>
  </si>
  <si>
    <t xml:space="preserve">VAV Box – w/ Reheat Coil</t>
  </si>
  <si>
    <t xml:space="preserve">Conference A</t>
  </si>
  <si>
    <t xml:space="preserve">VAV-104</t>
  </si>
  <si>
    <t xml:space="preserve">Conference B</t>
  </si>
  <si>
    <t xml:space="preserve">VAV-201</t>
  </si>
  <si>
    <t xml:space="preserve">Office 201</t>
  </si>
  <si>
    <t xml:space="preserve">VAV-202</t>
  </si>
  <si>
    <t xml:space="preserve">Office 202</t>
  </si>
  <si>
    <t xml:space="preserve">VAV-203</t>
  </si>
  <si>
    <t xml:space="preserve">Open Office – East</t>
  </si>
  <si>
    <t xml:space="preserve">VAV-204</t>
  </si>
  <si>
    <t xml:space="preserve">Open Office – West</t>
  </si>
  <si>
    <t xml:space="preserve">CAV-1</t>
  </si>
  <si>
    <t xml:space="preserve">Constant Air Volume Box</t>
  </si>
  <si>
    <t xml:space="preserve">CAV-2</t>
  </si>
  <si>
    <t xml:space="preserve">Electrical Room</t>
  </si>
  <si>
    <t xml:space="preserve">FT-1</t>
  </si>
  <si>
    <t xml:space="preserve">Fan Powered Terminal</t>
  </si>
  <si>
    <t xml:space="preserve">Lobby / Entry</t>
  </si>
  <si>
    <t xml:space="preserve">FT-2</t>
  </si>
  <si>
    <t xml:space="preserve">Reception</t>
  </si>
  <si>
    <t xml:space="preserve">FCU-101</t>
  </si>
  <si>
    <t xml:space="preserve">Suite 101</t>
  </si>
  <si>
    <t xml:space="preserve">Manual</t>
  </si>
  <si>
    <t xml:space="preserve">FCU-102</t>
  </si>
  <si>
    <t xml:space="preserve">Suite 102</t>
  </si>
  <si>
    <t xml:space="preserve">DP-1</t>
  </si>
  <si>
    <t xml:space="preserve">Dual Path Terminal Unit</t>
  </si>
  <si>
    <t xml:space="preserve">DP-2</t>
  </si>
  <si>
    <t xml:space="preserve">Training Room</t>
  </si>
  <si>
    <t xml:space="preserve">UV-1</t>
  </si>
  <si>
    <t xml:space="preserve">Unit Ventilator</t>
  </si>
  <si>
    <t xml:space="preserve">Gym</t>
  </si>
  <si>
    <t xml:space="preserve">UV-2</t>
  </si>
  <si>
    <t xml:space="preserve">Library / Media</t>
  </si>
  <si>
    <t xml:space="preserve">MAHU-1</t>
  </si>
  <si>
    <t xml:space="preserve">Mini-Split – Indoor</t>
  </si>
  <si>
    <t xml:space="preserve">IT Closet 201</t>
  </si>
  <si>
    <t xml:space="preserve">Remote</t>
  </si>
  <si>
    <t xml:space="preserve">MAHU-2</t>
  </si>
  <si>
    <t xml:space="preserve">Security Office</t>
  </si>
  <si>
    <t xml:space="preserve">  🖥️  BAS / DDC CONTROLS, SENSORS &amp; INSTRUMENTATION</t>
  </si>
  <si>
    <t xml:space="preserve">Device Tag</t>
  </si>
  <si>
    <t xml:space="preserve">Device Type</t>
  </si>
  <si>
    <t xml:space="preserve">Serving Equipment</t>
  </si>
  <si>
    <t xml:space="preserve">Protocol</t>
  </si>
  <si>
    <t xml:space="preserve">Input/Output</t>
  </si>
  <si>
    <t xml:space="preserve">Range / Setpoint</t>
  </si>
  <si>
    <t xml:space="preserve">Cal. Date</t>
  </si>
  <si>
    <t xml:space="preserve">Cal. Due</t>
  </si>
  <si>
    <t xml:space="preserve">Loop #</t>
  </si>
  <si>
    <t xml:space="preserve">TC-101</t>
  </si>
  <si>
    <t xml:space="preserve">Room Temperature Sensor</t>
  </si>
  <si>
    <t xml:space="preserve">BACnet</t>
  </si>
  <si>
    <t xml:space="preserve">AI</t>
  </si>
  <si>
    <t xml:space="preserve">55–95°F</t>
  </si>
  <si>
    <t xml:space="preserve">L-1</t>
  </si>
  <si>
    <t xml:space="preserve">TC-102</t>
  </si>
  <si>
    <t xml:space="preserve">HC-101</t>
  </si>
  <si>
    <t xml:space="preserve">Room Humidity Sensor</t>
  </si>
  <si>
    <t xml:space="preserve">0–100% RH</t>
  </si>
  <si>
    <t xml:space="preserve">L-2</t>
  </si>
  <si>
    <t xml:space="preserve">SP-101</t>
  </si>
  <si>
    <t xml:space="preserve">Static Pressure Sensor – Duct</t>
  </si>
  <si>
    <t xml:space="preserve">AHU-1 Supply Duct</t>
  </si>
  <si>
    <t xml:space="preserve">0–2.5 in.wg</t>
  </si>
  <si>
    <t xml:space="preserve">L-3</t>
  </si>
  <si>
    <t xml:space="preserve">SP-102</t>
  </si>
  <si>
    <t xml:space="preserve">AHU-2 Supply Duct</t>
  </si>
  <si>
    <t xml:space="preserve">DP-101</t>
  </si>
  <si>
    <t xml:space="preserve">Differential Pressure Sensor</t>
  </si>
  <si>
    <t xml:space="preserve">AHU-1 Filter</t>
  </si>
  <si>
    <t xml:space="preserve">0–1.0 in.wg</t>
  </si>
  <si>
    <t xml:space="preserve">L-4</t>
  </si>
  <si>
    <t xml:space="preserve">CO2-101</t>
  </si>
  <si>
    <t xml:space="preserve">CO₂ Sensor – Room</t>
  </si>
  <si>
    <t xml:space="preserve">0–2000 ppm</t>
  </si>
  <si>
    <t xml:space="preserve">L-5</t>
  </si>
  <si>
    <t xml:space="preserve">CO2-102</t>
  </si>
  <si>
    <t xml:space="preserve">Open Office East</t>
  </si>
  <si>
    <t xml:space="preserve">OAT-1</t>
  </si>
  <si>
    <t xml:space="preserve">Outside Air Temp Sensor</t>
  </si>
  <si>
    <t xml:space="preserve">RTU-1 OA Intake</t>
  </si>
  <si>
    <t xml:space="preserve">-40–120°F</t>
  </si>
  <si>
    <t xml:space="preserve">L-6</t>
  </si>
  <si>
    <t xml:space="preserve">MAT-1</t>
  </si>
  <si>
    <t xml:space="preserve">Mixed Air Temp Sensor</t>
  </si>
  <si>
    <t xml:space="preserve">AHU-1 Mix Box</t>
  </si>
  <si>
    <t xml:space="preserve">40–90°F</t>
  </si>
  <si>
    <t xml:space="preserve">L-7</t>
  </si>
  <si>
    <t xml:space="preserve">SAT-1</t>
  </si>
  <si>
    <t xml:space="preserve">Supply Air Temp Sensor</t>
  </si>
  <si>
    <t xml:space="preserve">AHU-1 Discharge</t>
  </si>
  <si>
    <t xml:space="preserve">45–85°F</t>
  </si>
  <si>
    <t xml:space="preserve">RAT-1</t>
  </si>
  <si>
    <t xml:space="preserve">Return Air Temp Sensor</t>
  </si>
  <si>
    <t xml:space="preserve">AHU-1 Return Duct</t>
  </si>
  <si>
    <t xml:space="preserve">60–90°F</t>
  </si>
  <si>
    <t xml:space="preserve">VFD-101</t>
  </si>
  <si>
    <t xml:space="preserve">Variable Frequency Drive</t>
  </si>
  <si>
    <t xml:space="preserve">P-1 Chilled Water Pump</t>
  </si>
  <si>
    <t xml:space="preserve">AO</t>
  </si>
  <si>
    <t xml:space="preserve">0–60 Hz</t>
  </si>
  <si>
    <t xml:space="preserve">L-8</t>
  </si>
  <si>
    <t xml:space="preserve">VFD-102</t>
  </si>
  <si>
    <t xml:space="preserve">AHU-1 Supply Fan</t>
  </si>
  <si>
    <t xml:space="preserve">DMP-101</t>
  </si>
  <si>
    <t xml:space="preserve">Economizer Damper Actuator</t>
  </si>
  <si>
    <t xml:space="preserve">AHU-1 OA Damper</t>
  </si>
  <si>
    <t xml:space="preserve">0–100%</t>
  </si>
  <si>
    <t xml:space="preserve">L-9</t>
  </si>
  <si>
    <t xml:space="preserve">DMP-102</t>
  </si>
  <si>
    <t xml:space="preserve">Return Damper Actuator</t>
  </si>
  <si>
    <t xml:space="preserve">AHU-1 RA Damper</t>
  </si>
  <si>
    <t xml:space="preserve">WF-101</t>
  </si>
  <si>
    <t xml:space="preserve">Water Flow Meter</t>
  </si>
  <si>
    <t xml:space="preserve">Chilled Water Main</t>
  </si>
  <si>
    <t xml:space="preserve">0–500 GPM</t>
  </si>
  <si>
    <t xml:space="preserve">L-10</t>
  </si>
  <si>
    <t xml:space="preserve">BTU-1</t>
  </si>
  <si>
    <t xml:space="preserve">BTU / Energy Meter</t>
  </si>
  <si>
    <t xml:space="preserve">MBH</t>
  </si>
  <si>
    <t xml:space="preserve">L-11</t>
  </si>
  <si>
    <t xml:space="preserve">FSD-101</t>
  </si>
  <si>
    <t xml:space="preserve">Fire/Smoke Damper Monitor</t>
  </si>
  <si>
    <t xml:space="preserve">AHU-1 Supply</t>
  </si>
  <si>
    <t xml:space="preserve">DI</t>
  </si>
  <si>
    <t xml:space="preserve">Open/Closed</t>
  </si>
  <si>
    <t xml:space="preserve">L-12</t>
  </si>
  <si>
    <t xml:space="preserve">FSD-102</t>
  </si>
  <si>
    <t xml:space="preserve">AHU-2 Supply</t>
  </si>
  <si>
    <t xml:space="preserve">TOTAL DEVICES: 20</t>
  </si>
  <si>
    <t xml:space="preserve">  📋  EQUIPMENT STATUS, WARRANTY &amp; SERVICE TRACKING</t>
  </si>
  <si>
    <t xml:space="preserve">Install Date</t>
  </si>
  <si>
    <t xml:space="preserve">Start-Up Date</t>
  </si>
  <si>
    <t xml:space="preserve">Last Service</t>
  </si>
  <si>
    <t xml:space="preserve">Next Service</t>
  </si>
  <si>
    <t xml:space="preserve">Warranty Exp.</t>
  </si>
  <si>
    <t xml:space="preserve">Contractor</t>
  </si>
  <si>
    <t xml:space="preserve">Service CO</t>
  </si>
  <si>
    <t xml:space="preserve">Operational Status</t>
  </si>
  <si>
    <t xml:space="preserve">Condition</t>
  </si>
  <si>
    <t xml:space="preserve">Priority</t>
  </si>
  <si>
    <t xml:space="preserve">Mech Rm – L1</t>
  </si>
  <si>
    <t xml:space="preserve">Good</t>
  </si>
  <si>
    <t xml:space="preserve">High</t>
  </si>
  <si>
    <t xml:space="preserve">Mech Rm – L2</t>
  </si>
  <si>
    <t xml:space="preserve">Fair</t>
  </si>
  <si>
    <t xml:space="preserve">Med</t>
  </si>
  <si>
    <t xml:space="preserve">Down</t>
  </si>
  <si>
    <t xml:space="preserve">Poor</t>
  </si>
  <si>
    <t xml:space="preserve">Critical</t>
  </si>
  <si>
    <t xml:space="preserve">Needs repair</t>
  </si>
  <si>
    <t xml:space="preserve">Standby</t>
  </si>
  <si>
    <t xml:space="preserve">CW Pump – Primary</t>
  </si>
  <si>
    <t xml:space="preserve">HW Pump – Primary</t>
  </si>
  <si>
    <t xml:space="preserve">Exhaust Fan – Restrooms L1</t>
  </si>
  <si>
    <t xml:space="preserve">Roof – East</t>
  </si>
  <si>
    <t xml:space="preserve">Low</t>
  </si>
  <si>
    <t xml:space="preserve">Roof – Kitchen</t>
  </si>
  <si>
    <t xml:space="preserve">VFD – AHU-1 Fan</t>
  </si>
  <si>
    <t xml:space="preserve">MCC Panel</t>
  </si>
  <si>
    <t xml:space="preserve">Roof – VRF</t>
  </si>
  <si>
    <t xml:space="preserve">  📊  STATUS SUMMARY</t>
  </si>
  <si>
    <t xml:space="preserve">Total Equipment Items:</t>
  </si>
  <si>
    <t xml:space="preserve">Active / Operational:</t>
  </si>
  <si>
    <t xml:space="preserve">Standby:</t>
  </si>
  <si>
    <t xml:space="preserve">Offline / Down:</t>
  </si>
  <si>
    <t xml:space="preserve">Critical Priority:</t>
  </si>
  <si>
    <t xml:space="preserve">Under Warranty:</t>
  </si>
  <si>
    <t xml:space="preserve">HVAC EQUIPMENT LIST — FINAL SUMMARY</t>
  </si>
  <si>
    <t xml:space="preserve">  📊  EQUIPMENT COUNT SUMMARY BY CATEGORY</t>
  </si>
  <si>
    <t xml:space="preserve">Category</t>
  </si>
  <si>
    <t xml:space="preserve">Count</t>
  </si>
  <si>
    <t xml:space="preserve">% Active</t>
  </si>
  <si>
    <t xml:space="preserve">AHU / MAU / DOAS</t>
  </si>
  <si>
    <t xml:space="preserve">RTU / WSHP Units</t>
  </si>
  <si>
    <t xml:space="preserve">Fan Coil Units (FCU)</t>
  </si>
  <si>
    <t xml:space="preserve">Condensing Units</t>
  </si>
  <si>
    <t xml:space="preserve">Chillers</t>
  </si>
  <si>
    <t xml:space="preserve">Cooling Towers</t>
  </si>
  <si>
    <t xml:space="preserve">Exhaust / Vent Fans</t>
  </si>
  <si>
    <t xml:space="preserve">Pumps</t>
  </si>
  <si>
    <t xml:space="preserve">Boilers / Heat Exch.</t>
  </si>
  <si>
    <t xml:space="preserve">VAV / Terminal Units</t>
  </si>
  <si>
    <t xml:space="preserve">Controls / Instruments</t>
  </si>
  <si>
    <t xml:space="preserve">VFDs</t>
  </si>
  <si>
    <t xml:space="preserve">Other Equipment</t>
  </si>
  <si>
    <t xml:space="preserve">GRAND TOTAL</t>
  </si>
  <si>
    <t xml:space="preserve">  📝  OVERALL FINDINGS &amp; RECOMMENDATIONS</t>
  </si>
  <si>
    <t xml:space="preserve">Equipment List Status:</t>
  </si>
  <si>
    <t xml:space="preserve">Total Units Inventoried:</t>
  </si>
  <si>
    <t xml:space="preserve">Units Requiring Service:</t>
  </si>
  <si>
    <t xml:space="preserve">Warranty Claims Needed:</t>
  </si>
  <si>
    <t xml:space="preserve">Recommended Replacement Items:</t>
  </si>
  <si>
    <t xml:space="preserve">Next Scheduled Inspection:</t>
  </si>
  <si>
    <t xml:space="preserve">  🗒️  TECHNICIAN NOTES / NARRATIVE</t>
  </si>
  <si>
    <t xml:space="preserve">Enter any additional notes, field observations, or narrative comments here.</t>
  </si>
  <si>
    <t xml:space="preserve">Title:</t>
  </si>
  <si>
    <t xml:space="preserve">Approved By (Owner):</t>
  </si>
  <si>
    <t xml:space="preserve">QA/QC Manager:</t>
  </si>
  <si>
    <t xml:space="preserve">License #: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</si>
</sst>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6"/>
      <color rgb="FF1B3A6B"/>
      <name val="Arial"/>
      <family val="0"/>
      <charset val="1"/>
    </font>
    <font>
      <sz val="9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4" min="10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A6" s="5" t="s">
        <v>4</v>
      </c>
      <c r="B6" s="6"/>
      <c r="C6" s="6"/>
      <c r="D6" s="6"/>
      <c r="E6" s="6"/>
      <c r="F6" s="6"/>
      <c r="G6" s="5" t="s">
        <v>5</v>
      </c>
      <c r="H6" s="6"/>
      <c r="I6" s="6"/>
      <c r="J6" s="6"/>
      <c r="K6" s="6"/>
      <c r="L6" s="6"/>
      <c r="M6" s="6"/>
      <c r="N6" s="6"/>
    </row>
    <row r="7" customFormat="false" ht="15" hidden="false" customHeight="true" outlineLevel="0" collapsed="false">
      <c r="A7" s="5" t="s">
        <v>6</v>
      </c>
      <c r="B7" s="6"/>
      <c r="C7" s="6"/>
      <c r="D7" s="6"/>
      <c r="E7" s="6"/>
      <c r="F7" s="6"/>
      <c r="G7" s="5" t="s">
        <v>7</v>
      </c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5" t="s">
        <v>8</v>
      </c>
      <c r="B8" s="6"/>
      <c r="C8" s="6"/>
      <c r="D8" s="6"/>
      <c r="E8" s="6"/>
      <c r="F8" s="6"/>
      <c r="G8" s="5" t="s">
        <v>9</v>
      </c>
      <c r="H8" s="6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5" t="s">
        <v>10</v>
      </c>
      <c r="B9" s="6"/>
      <c r="C9" s="6"/>
      <c r="D9" s="6"/>
      <c r="E9" s="6"/>
      <c r="F9" s="6"/>
      <c r="G9" s="5" t="s">
        <v>11</v>
      </c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5" t="s">
        <v>12</v>
      </c>
      <c r="B10" s="6"/>
      <c r="C10" s="6"/>
      <c r="D10" s="6"/>
      <c r="E10" s="6"/>
      <c r="F10" s="6"/>
      <c r="G10" s="5" t="s">
        <v>13</v>
      </c>
      <c r="H10" s="6"/>
      <c r="I10" s="6"/>
      <c r="J10" s="6"/>
      <c r="K10" s="6"/>
      <c r="L10" s="6"/>
      <c r="M10" s="6"/>
      <c r="N10" s="6"/>
    </row>
    <row r="11" customFormat="false" ht="15" hidden="false" customHeight="true" outlineLevel="0" collapsed="false">
      <c r="A11" s="5" t="s">
        <v>14</v>
      </c>
      <c r="B11" s="6"/>
      <c r="C11" s="6"/>
      <c r="D11" s="6"/>
      <c r="E11" s="6"/>
      <c r="F11" s="6"/>
      <c r="G11" s="5" t="s">
        <v>15</v>
      </c>
      <c r="H11" s="6"/>
      <c r="I11" s="6"/>
      <c r="J11" s="6"/>
      <c r="K11" s="6"/>
      <c r="L11" s="6"/>
      <c r="M11" s="6"/>
      <c r="N11" s="6"/>
    </row>
    <row r="13" customFormat="false" ht="19.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true" outlineLevel="0" collapsed="false">
      <c r="A14" s="5" t="s">
        <v>17</v>
      </c>
      <c r="B14" s="6"/>
      <c r="C14" s="6"/>
      <c r="D14" s="6"/>
      <c r="E14" s="6"/>
      <c r="F14" s="6"/>
      <c r="G14" s="5" t="s">
        <v>18</v>
      </c>
      <c r="H14" s="6"/>
      <c r="I14" s="6"/>
      <c r="J14" s="6"/>
      <c r="K14" s="6"/>
      <c r="L14" s="6"/>
      <c r="M14" s="6"/>
      <c r="N14" s="6"/>
    </row>
    <row r="15" customFormat="false" ht="15" hidden="false" customHeight="true" outlineLevel="0" collapsed="false">
      <c r="A15" s="5" t="s">
        <v>19</v>
      </c>
      <c r="B15" s="6"/>
      <c r="C15" s="6"/>
      <c r="D15" s="6"/>
      <c r="E15" s="6"/>
      <c r="F15" s="6"/>
      <c r="G15" s="5" t="s">
        <v>20</v>
      </c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5" t="s">
        <v>21</v>
      </c>
      <c r="B16" s="6"/>
      <c r="C16" s="6"/>
      <c r="D16" s="6"/>
      <c r="E16" s="6"/>
      <c r="F16" s="6"/>
      <c r="G16" s="5" t="s">
        <v>22</v>
      </c>
      <c r="H16" s="6"/>
      <c r="I16" s="6"/>
      <c r="J16" s="6"/>
      <c r="K16" s="6"/>
      <c r="L16" s="6"/>
      <c r="M16" s="6"/>
      <c r="N16" s="6"/>
    </row>
    <row r="17" customFormat="false" ht="15" hidden="false" customHeight="true" outlineLevel="0" collapsed="false">
      <c r="A17" s="5" t="s">
        <v>23</v>
      </c>
      <c r="B17" s="6"/>
      <c r="C17" s="6"/>
      <c r="D17" s="6"/>
      <c r="E17" s="6"/>
      <c r="F17" s="6"/>
      <c r="G17" s="5" t="s">
        <v>24</v>
      </c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5" t="s">
        <v>25</v>
      </c>
      <c r="B18" s="6"/>
      <c r="C18" s="6"/>
      <c r="D18" s="6"/>
      <c r="E18" s="6"/>
      <c r="F18" s="6"/>
      <c r="G18" s="5" t="s">
        <v>26</v>
      </c>
      <c r="H18" s="6"/>
      <c r="I18" s="6"/>
      <c r="J18" s="6"/>
      <c r="K18" s="6"/>
      <c r="L18" s="6"/>
      <c r="M18" s="6"/>
      <c r="N18" s="6"/>
    </row>
    <row r="20" customFormat="false" ht="19.5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21.75" hidden="false" customHeight="true" outlineLevel="0" collapsed="false">
      <c r="A21" s="7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21.75" hidden="false" customHeight="true" outlineLevel="0" collapsed="false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21.75" hidden="false" customHeight="true" outlineLevel="0" collapsed="false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6" customFormat="false" ht="19.5" hidden="false" customHeight="true" outlineLevel="0" collapsed="false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.75" hidden="false" customHeight="true" outlineLevel="0" collapsed="false">
      <c r="A27" s="5" t="s">
        <v>11</v>
      </c>
      <c r="B27" s="6"/>
      <c r="C27" s="6"/>
      <c r="D27" s="6"/>
      <c r="E27" s="6"/>
      <c r="F27" s="6"/>
      <c r="G27" s="5" t="s">
        <v>33</v>
      </c>
      <c r="H27" s="6"/>
      <c r="I27" s="6"/>
      <c r="J27" s="6"/>
      <c r="K27" s="6"/>
      <c r="L27" s="6"/>
      <c r="M27" s="6"/>
      <c r="N27" s="6"/>
    </row>
    <row r="28" customFormat="false" ht="15.75" hidden="false" customHeight="true" outlineLevel="0" collapsed="false">
      <c r="A28" s="5" t="s">
        <v>34</v>
      </c>
      <c r="B28" s="6"/>
      <c r="C28" s="6"/>
      <c r="D28" s="6"/>
      <c r="E28" s="6"/>
      <c r="F28" s="6"/>
      <c r="G28" s="5" t="s">
        <v>33</v>
      </c>
      <c r="H28" s="6"/>
      <c r="I28" s="6"/>
      <c r="J28" s="6"/>
      <c r="K28" s="6"/>
      <c r="L28" s="6"/>
      <c r="M28" s="6"/>
      <c r="N28" s="6"/>
    </row>
    <row r="29" customFormat="false" ht="15.75" hidden="false" customHeight="true" outlineLevel="0" collapsed="false">
      <c r="A29" s="5" t="s">
        <v>35</v>
      </c>
      <c r="B29" s="6"/>
      <c r="C29" s="6"/>
      <c r="D29" s="6"/>
      <c r="E29" s="6"/>
      <c r="F29" s="6"/>
      <c r="G29" s="5" t="s">
        <v>33</v>
      </c>
      <c r="H29" s="6"/>
      <c r="I29" s="6"/>
      <c r="J29" s="6"/>
      <c r="K29" s="6"/>
      <c r="L29" s="6"/>
      <c r="M29" s="6"/>
      <c r="N29" s="6"/>
    </row>
    <row r="30" customFormat="false" ht="15.75" hidden="false" customHeight="true" outlineLevel="0" collapsed="false">
      <c r="A30" s="5" t="s">
        <v>36</v>
      </c>
      <c r="B30" s="6"/>
      <c r="C30" s="6"/>
      <c r="D30" s="6"/>
      <c r="E30" s="6"/>
      <c r="F30" s="6"/>
      <c r="G30" s="5" t="s">
        <v>33</v>
      </c>
      <c r="H30" s="6"/>
      <c r="I30" s="6"/>
      <c r="J30" s="6"/>
      <c r="K30" s="6"/>
      <c r="L30" s="6"/>
      <c r="M30" s="6"/>
      <c r="N30" s="6"/>
    </row>
    <row r="32" customFormat="false" ht="4.5" hidden="false" customHeight="true" outlineLevel="0" collapsed="false"/>
    <row r="33" customFormat="false" ht="13.5" hidden="false" customHeight="true" outlineLevel="0" collapsed="false">
      <c r="A33" s="9" t="s">
        <v>37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mergeCells count="42">
    <mergeCell ref="A1:G1"/>
    <mergeCell ref="H1:N1"/>
    <mergeCell ref="A3:N3"/>
    <mergeCell ref="A5:N5"/>
    <mergeCell ref="B6:F6"/>
    <mergeCell ref="H6:N6"/>
    <mergeCell ref="B7:F7"/>
    <mergeCell ref="H7:N7"/>
    <mergeCell ref="B8:F8"/>
    <mergeCell ref="H8:N8"/>
    <mergeCell ref="B9:F9"/>
    <mergeCell ref="H9:N9"/>
    <mergeCell ref="B10:F10"/>
    <mergeCell ref="H10:N10"/>
    <mergeCell ref="B11:F11"/>
    <mergeCell ref="H11:N11"/>
    <mergeCell ref="A13:N13"/>
    <mergeCell ref="B14:F14"/>
    <mergeCell ref="H14:N14"/>
    <mergeCell ref="B15:F15"/>
    <mergeCell ref="H15:N15"/>
    <mergeCell ref="B16:F16"/>
    <mergeCell ref="H16:N16"/>
    <mergeCell ref="B17:F17"/>
    <mergeCell ref="H17:N17"/>
    <mergeCell ref="B18:F18"/>
    <mergeCell ref="H18:N18"/>
    <mergeCell ref="A20:N20"/>
    <mergeCell ref="A21:N21"/>
    <mergeCell ref="A22:N22"/>
    <mergeCell ref="A23:N23"/>
    <mergeCell ref="A24:N24"/>
    <mergeCell ref="A26:N26"/>
    <mergeCell ref="B27:F27"/>
    <mergeCell ref="H27:N27"/>
    <mergeCell ref="B28:F28"/>
    <mergeCell ref="H28:N28"/>
    <mergeCell ref="B29:F29"/>
    <mergeCell ref="H29:N29"/>
    <mergeCell ref="B30:F30"/>
    <mergeCell ref="H30:N30"/>
    <mergeCell ref="A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3" min="10" style="0" width="10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4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0" t="s">
        <v>52</v>
      </c>
    </row>
    <row r="4" customFormat="false" ht="15" hidden="false" customHeight="true" outlineLevel="0" collapsed="false">
      <c r="A4" s="6" t="s">
        <v>53</v>
      </c>
      <c r="B4" s="11" t="s">
        <v>54</v>
      </c>
      <c r="C4" s="11" t="s">
        <v>55</v>
      </c>
      <c r="D4" s="11"/>
      <c r="E4" s="11"/>
      <c r="F4" s="11"/>
      <c r="G4" s="11"/>
      <c r="H4" s="11"/>
      <c r="I4" s="11"/>
      <c r="J4" s="11"/>
      <c r="K4" s="11"/>
      <c r="L4" s="11"/>
      <c r="M4" s="11" t="s">
        <v>56</v>
      </c>
      <c r="N4" s="11"/>
    </row>
    <row r="5" customFormat="false" ht="15" hidden="false" customHeight="true" outlineLevel="0" collapsed="false">
      <c r="A5" s="12" t="s">
        <v>57</v>
      </c>
      <c r="B5" s="13" t="s">
        <v>54</v>
      </c>
      <c r="C5" s="13" t="s">
        <v>58</v>
      </c>
      <c r="D5" s="13"/>
      <c r="E5" s="13"/>
      <c r="F5" s="13"/>
      <c r="G5" s="13"/>
      <c r="H5" s="13"/>
      <c r="I5" s="13"/>
      <c r="J5" s="13"/>
      <c r="K5" s="13"/>
      <c r="L5" s="13"/>
      <c r="M5" s="13" t="s">
        <v>56</v>
      </c>
      <c r="N5" s="13"/>
    </row>
    <row r="6" customFormat="false" ht="15" hidden="false" customHeight="true" outlineLevel="0" collapsed="false">
      <c r="A6" s="6" t="s">
        <v>59</v>
      </c>
      <c r="B6" s="11" t="s">
        <v>60</v>
      </c>
      <c r="C6" s="11" t="s">
        <v>61</v>
      </c>
      <c r="D6" s="11"/>
      <c r="E6" s="11"/>
      <c r="F6" s="11"/>
      <c r="G6" s="11"/>
      <c r="H6" s="11"/>
      <c r="I6" s="11"/>
      <c r="J6" s="11"/>
      <c r="K6" s="11"/>
      <c r="L6" s="11"/>
      <c r="M6" s="11" t="s">
        <v>56</v>
      </c>
      <c r="N6" s="11"/>
    </row>
    <row r="7" customFormat="false" ht="15" hidden="false" customHeight="true" outlineLevel="0" collapsed="false">
      <c r="A7" s="12" t="s">
        <v>62</v>
      </c>
      <c r="B7" s="13" t="s">
        <v>60</v>
      </c>
      <c r="C7" s="13" t="s">
        <v>63</v>
      </c>
      <c r="D7" s="13"/>
      <c r="E7" s="13"/>
      <c r="F7" s="13"/>
      <c r="G7" s="13"/>
      <c r="H7" s="13"/>
      <c r="I7" s="13"/>
      <c r="J7" s="13"/>
      <c r="K7" s="13"/>
      <c r="L7" s="13"/>
      <c r="M7" s="13" t="s">
        <v>56</v>
      </c>
      <c r="N7" s="13"/>
    </row>
    <row r="8" customFormat="false" ht="15" hidden="false" customHeight="true" outlineLevel="0" collapsed="false">
      <c r="A8" s="6" t="s">
        <v>64</v>
      </c>
      <c r="B8" s="11" t="s">
        <v>60</v>
      </c>
      <c r="C8" s="11" t="s">
        <v>65</v>
      </c>
      <c r="D8" s="11"/>
      <c r="E8" s="11"/>
      <c r="F8" s="11"/>
      <c r="G8" s="11"/>
      <c r="H8" s="11"/>
      <c r="I8" s="11"/>
      <c r="J8" s="11"/>
      <c r="K8" s="11"/>
      <c r="L8" s="11"/>
      <c r="M8" s="11" t="s">
        <v>56</v>
      </c>
      <c r="N8" s="11"/>
    </row>
    <row r="9" customFormat="false" ht="15" hidden="false" customHeight="true" outlineLevel="0" collapsed="false">
      <c r="A9" s="12" t="s">
        <v>66</v>
      </c>
      <c r="B9" s="13" t="s">
        <v>60</v>
      </c>
      <c r="C9" s="13" t="s">
        <v>67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56</v>
      </c>
      <c r="N9" s="13"/>
    </row>
    <row r="10" customFormat="false" ht="15" hidden="false" customHeight="true" outlineLevel="0" collapsed="false">
      <c r="A10" s="6" t="s">
        <v>68</v>
      </c>
      <c r="B10" s="11" t="s">
        <v>69</v>
      </c>
      <c r="C10" s="11" t="s">
        <v>70</v>
      </c>
      <c r="D10" s="11"/>
      <c r="E10" s="11"/>
      <c r="F10" s="11"/>
      <c r="G10" s="11"/>
      <c r="H10" s="11"/>
      <c r="I10" s="11"/>
      <c r="J10" s="11"/>
      <c r="K10" s="11"/>
      <c r="L10" s="11"/>
      <c r="M10" s="11" t="s">
        <v>56</v>
      </c>
      <c r="N10" s="11"/>
    </row>
    <row r="11" customFormat="false" ht="15" hidden="false" customHeight="true" outlineLevel="0" collapsed="false">
      <c r="A11" s="12" t="s">
        <v>71</v>
      </c>
      <c r="B11" s="13" t="s">
        <v>72</v>
      </c>
      <c r="C11" s="13" t="s">
        <v>73</v>
      </c>
      <c r="D11" s="13"/>
      <c r="E11" s="13"/>
      <c r="F11" s="13"/>
      <c r="G11" s="13"/>
      <c r="H11" s="13"/>
      <c r="I11" s="13"/>
      <c r="J11" s="13"/>
      <c r="K11" s="13"/>
      <c r="L11" s="13"/>
      <c r="M11" s="13" t="s">
        <v>56</v>
      </c>
      <c r="N11" s="13"/>
    </row>
    <row r="12" customFormat="false" ht="15" hidden="false" customHeight="true" outlineLevel="0" collapsed="false">
      <c r="A12" s="6" t="s">
        <v>74</v>
      </c>
      <c r="B12" s="11" t="s">
        <v>75</v>
      </c>
      <c r="C12" s="11" t="s">
        <v>76</v>
      </c>
      <c r="D12" s="11"/>
      <c r="E12" s="11"/>
      <c r="F12" s="11"/>
      <c r="G12" s="11"/>
      <c r="H12" s="11"/>
      <c r="I12" s="11"/>
      <c r="J12" s="11"/>
      <c r="K12" s="11"/>
      <c r="L12" s="11"/>
      <c r="M12" s="11" t="s">
        <v>56</v>
      </c>
      <c r="N12" s="11"/>
    </row>
    <row r="13" customFormat="false" ht="15" hidden="false" customHeight="true" outlineLevel="0" collapsed="false">
      <c r="A13" s="12" t="s">
        <v>77</v>
      </c>
      <c r="B13" s="13" t="s">
        <v>75</v>
      </c>
      <c r="C13" s="13" t="s">
        <v>78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56</v>
      </c>
      <c r="N13" s="13"/>
    </row>
    <row r="14" customFormat="false" ht="15" hidden="false" customHeight="true" outlineLevel="0" collapsed="false">
      <c r="A14" s="6" t="s">
        <v>79</v>
      </c>
      <c r="B14" s="11" t="s">
        <v>80</v>
      </c>
      <c r="C14" s="11" t="s">
        <v>81</v>
      </c>
      <c r="D14" s="11"/>
      <c r="E14" s="11"/>
      <c r="F14" s="11"/>
      <c r="G14" s="11"/>
      <c r="H14" s="11"/>
      <c r="I14" s="11"/>
      <c r="J14" s="11"/>
      <c r="K14" s="11"/>
      <c r="L14" s="11"/>
      <c r="M14" s="11" t="s">
        <v>56</v>
      </c>
      <c r="N14" s="11"/>
    </row>
    <row r="15" customFormat="false" ht="15" hidden="false" customHeight="true" outlineLevel="0" collapsed="false">
      <c r="A15" s="12" t="s">
        <v>82</v>
      </c>
      <c r="B15" s="13" t="s">
        <v>83</v>
      </c>
      <c r="C15" s="13" t="s">
        <v>84</v>
      </c>
      <c r="D15" s="13"/>
      <c r="E15" s="13"/>
      <c r="F15" s="13"/>
      <c r="G15" s="13"/>
      <c r="H15" s="13"/>
      <c r="I15" s="13"/>
      <c r="J15" s="13"/>
      <c r="K15" s="13"/>
      <c r="L15" s="13"/>
      <c r="M15" s="13" t="s">
        <v>56</v>
      </c>
      <c r="N15" s="13"/>
    </row>
    <row r="16" customFormat="false" ht="15" hidden="false" customHeight="true" outlineLevel="0" collapsed="false">
      <c r="A16" s="6" t="s">
        <v>85</v>
      </c>
      <c r="B16" s="11" t="s">
        <v>83</v>
      </c>
      <c r="C16" s="11" t="s">
        <v>86</v>
      </c>
      <c r="D16" s="11"/>
      <c r="E16" s="11"/>
      <c r="F16" s="11"/>
      <c r="G16" s="11"/>
      <c r="H16" s="11"/>
      <c r="I16" s="11"/>
      <c r="J16" s="11"/>
      <c r="K16" s="11"/>
      <c r="L16" s="11"/>
      <c r="M16" s="11" t="s">
        <v>56</v>
      </c>
      <c r="N16" s="11"/>
    </row>
    <row r="17" customFormat="false" ht="15" hidden="false" customHeight="true" outlineLevel="0" collapsed="false">
      <c r="A17" s="12" t="s">
        <v>87</v>
      </c>
      <c r="B17" s="13" t="s">
        <v>83</v>
      </c>
      <c r="C17" s="13" t="s">
        <v>88</v>
      </c>
      <c r="D17" s="13"/>
      <c r="E17" s="13"/>
      <c r="F17" s="13"/>
      <c r="G17" s="13"/>
      <c r="H17" s="13"/>
      <c r="I17" s="13"/>
      <c r="J17" s="13"/>
      <c r="K17" s="13"/>
      <c r="L17" s="13"/>
      <c r="M17" s="13" t="s">
        <v>56</v>
      </c>
      <c r="N17" s="13"/>
    </row>
    <row r="18" customFormat="false" ht="15" hidden="false" customHeight="true" outlineLevel="0" collapsed="false">
      <c r="A18" s="6" t="s">
        <v>89</v>
      </c>
      <c r="B18" s="11" t="s">
        <v>83</v>
      </c>
      <c r="C18" s="11" t="s">
        <v>90</v>
      </c>
      <c r="D18" s="11"/>
      <c r="E18" s="11"/>
      <c r="F18" s="11"/>
      <c r="G18" s="11"/>
      <c r="H18" s="11"/>
      <c r="I18" s="11"/>
      <c r="J18" s="11"/>
      <c r="K18" s="11"/>
      <c r="L18" s="11"/>
      <c r="M18" s="11" t="s">
        <v>56</v>
      </c>
      <c r="N18" s="11"/>
    </row>
    <row r="19" customFormat="false" ht="15.75" hidden="false" customHeight="true" outlineLevel="0" collapsed="false">
      <c r="A19" s="14" t="s">
        <v>91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1" customFormat="false" ht="19.5" hidden="false" customHeight="true" outlineLevel="0" collapsed="false">
      <c r="A21" s="4" t="s">
        <v>92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true" outlineLevel="0" collapsed="false">
      <c r="A22" s="5" t="s">
        <v>93</v>
      </c>
      <c r="B22" s="16" t="n">
        <f aca="false">COUNTA(A4:A18)</f>
        <v>15</v>
      </c>
      <c r="C22" s="16"/>
      <c r="D22" s="16"/>
      <c r="E22" s="16"/>
      <c r="F22" s="16"/>
    </row>
    <row r="23" customFormat="false" ht="15" hidden="false" customHeight="true" outlineLevel="0" collapsed="false">
      <c r="A23" s="5" t="s">
        <v>94</v>
      </c>
      <c r="B23" s="16"/>
      <c r="C23" s="16"/>
      <c r="D23" s="16"/>
      <c r="E23" s="16"/>
      <c r="F23" s="16"/>
    </row>
    <row r="24" customFormat="false" ht="15" hidden="false" customHeight="true" outlineLevel="0" collapsed="false">
      <c r="A24" s="5" t="s">
        <v>95</v>
      </c>
      <c r="B24" s="16"/>
      <c r="C24" s="16"/>
      <c r="D24" s="16"/>
      <c r="E24" s="16"/>
      <c r="F24" s="16"/>
    </row>
    <row r="25" customFormat="false" ht="15" hidden="false" customHeight="true" outlineLevel="0" collapsed="false">
      <c r="A25" s="5" t="s">
        <v>96</v>
      </c>
      <c r="B25" s="16"/>
      <c r="C25" s="16"/>
      <c r="D25" s="16"/>
      <c r="E25" s="16"/>
      <c r="F25" s="16"/>
    </row>
    <row r="26" customFormat="false" ht="15" hidden="false" customHeight="true" outlineLevel="0" collapsed="false">
      <c r="A26" s="5" t="s">
        <v>97</v>
      </c>
      <c r="B26" s="16"/>
      <c r="C26" s="16"/>
      <c r="D26" s="16"/>
      <c r="E26" s="16"/>
      <c r="F26" s="16"/>
    </row>
    <row r="27" customFormat="false" ht="15" hidden="false" customHeight="true" outlineLevel="0" collapsed="false">
      <c r="A27" s="5" t="s">
        <v>98</v>
      </c>
      <c r="B27" s="16"/>
      <c r="C27" s="16"/>
      <c r="D27" s="16"/>
      <c r="E27" s="16"/>
      <c r="F27" s="16"/>
    </row>
    <row r="28" customFormat="false" ht="4.5" hidden="false" customHeight="true" outlineLevel="0" collapsed="false"/>
    <row r="29" customFormat="false" ht="13.5" hidden="false" customHeight="true" outlineLevel="0" collapsed="false">
      <c r="A29" s="9" t="s">
        <v>37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</sheetData>
  <mergeCells count="12">
    <mergeCell ref="A1:G1"/>
    <mergeCell ref="H1:N1"/>
    <mergeCell ref="A2:N2"/>
    <mergeCell ref="A19:B19"/>
    <mergeCell ref="A21:N21"/>
    <mergeCell ref="B22:F22"/>
    <mergeCell ref="B23:F23"/>
    <mergeCell ref="B24:F24"/>
    <mergeCell ref="B25:F25"/>
    <mergeCell ref="B26:F26"/>
    <mergeCell ref="B27:F27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3" min="10" style="0" width="10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4" t="s">
        <v>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100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50</v>
      </c>
      <c r="I3" s="10" t="s">
        <v>101</v>
      </c>
      <c r="J3" s="10" t="s">
        <v>48</v>
      </c>
      <c r="K3" s="10" t="s">
        <v>49</v>
      </c>
      <c r="L3" s="10" t="s">
        <v>102</v>
      </c>
      <c r="M3" s="10" t="s">
        <v>51</v>
      </c>
      <c r="N3" s="10" t="s">
        <v>52</v>
      </c>
    </row>
    <row r="4" customFormat="false" ht="15" hidden="false" customHeight="true" outlineLevel="0" collapsed="false">
      <c r="A4" s="6" t="s">
        <v>103</v>
      </c>
      <c r="B4" s="11" t="s">
        <v>104</v>
      </c>
      <c r="C4" s="11" t="s">
        <v>105</v>
      </c>
      <c r="D4" s="11"/>
      <c r="E4" s="11"/>
      <c r="F4" s="11"/>
      <c r="G4" s="11"/>
      <c r="H4" s="11"/>
      <c r="I4" s="11"/>
      <c r="J4" s="11"/>
      <c r="K4" s="11"/>
      <c r="L4" s="11"/>
      <c r="M4" s="11" t="s">
        <v>56</v>
      </c>
      <c r="N4" s="11"/>
    </row>
    <row r="5" customFormat="false" ht="15" hidden="false" customHeight="true" outlineLevel="0" collapsed="false">
      <c r="A5" s="12" t="s">
        <v>106</v>
      </c>
      <c r="B5" s="13" t="s">
        <v>104</v>
      </c>
      <c r="C5" s="13" t="s">
        <v>107</v>
      </c>
      <c r="D5" s="13"/>
      <c r="E5" s="13"/>
      <c r="F5" s="13"/>
      <c r="G5" s="13"/>
      <c r="H5" s="13"/>
      <c r="I5" s="13"/>
      <c r="J5" s="13"/>
      <c r="K5" s="13"/>
      <c r="L5" s="13"/>
      <c r="M5" s="13" t="s">
        <v>56</v>
      </c>
      <c r="N5" s="13"/>
    </row>
    <row r="6" customFormat="false" ht="15" hidden="false" customHeight="true" outlineLevel="0" collapsed="false">
      <c r="A6" s="6" t="s">
        <v>108</v>
      </c>
      <c r="B6" s="11" t="s">
        <v>104</v>
      </c>
      <c r="C6" s="11" t="s">
        <v>109</v>
      </c>
      <c r="D6" s="11"/>
      <c r="E6" s="11"/>
      <c r="F6" s="11"/>
      <c r="G6" s="11"/>
      <c r="H6" s="11"/>
      <c r="I6" s="11"/>
      <c r="J6" s="11"/>
      <c r="K6" s="11"/>
      <c r="L6" s="11"/>
      <c r="M6" s="11" t="s">
        <v>56</v>
      </c>
      <c r="N6" s="11"/>
    </row>
    <row r="7" customFormat="false" ht="15" hidden="false" customHeight="true" outlineLevel="0" collapsed="false">
      <c r="A7" s="12" t="s">
        <v>110</v>
      </c>
      <c r="B7" s="13" t="s">
        <v>111</v>
      </c>
      <c r="C7" s="13" t="s">
        <v>112</v>
      </c>
      <c r="D7" s="13"/>
      <c r="E7" s="13"/>
      <c r="F7" s="13"/>
      <c r="G7" s="13"/>
      <c r="H7" s="13"/>
      <c r="I7" s="13"/>
      <c r="J7" s="13"/>
      <c r="K7" s="13"/>
      <c r="L7" s="13"/>
      <c r="M7" s="13" t="s">
        <v>56</v>
      </c>
      <c r="N7" s="13"/>
    </row>
    <row r="8" customFormat="false" ht="15" hidden="false" customHeight="true" outlineLevel="0" collapsed="false">
      <c r="A8" s="6" t="s">
        <v>113</v>
      </c>
      <c r="B8" s="11" t="s">
        <v>114</v>
      </c>
      <c r="C8" s="11" t="s">
        <v>115</v>
      </c>
      <c r="D8" s="11"/>
      <c r="E8" s="11"/>
      <c r="F8" s="11"/>
      <c r="G8" s="11"/>
      <c r="H8" s="11"/>
      <c r="I8" s="11"/>
      <c r="J8" s="11"/>
      <c r="K8" s="11"/>
      <c r="L8" s="11"/>
      <c r="M8" s="11" t="s">
        <v>56</v>
      </c>
      <c r="N8" s="11"/>
    </row>
    <row r="9" customFormat="false" ht="15" hidden="false" customHeight="true" outlineLevel="0" collapsed="false">
      <c r="A9" s="12" t="s">
        <v>116</v>
      </c>
      <c r="B9" s="13" t="s">
        <v>117</v>
      </c>
      <c r="C9" s="13" t="s">
        <v>112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56</v>
      </c>
      <c r="N9" s="13"/>
    </row>
    <row r="10" customFormat="false" ht="15" hidden="false" customHeight="true" outlineLevel="0" collapsed="false">
      <c r="A10" s="6" t="s">
        <v>118</v>
      </c>
      <c r="B10" s="11" t="s">
        <v>117</v>
      </c>
      <c r="C10" s="11" t="s">
        <v>112</v>
      </c>
      <c r="D10" s="11"/>
      <c r="E10" s="11"/>
      <c r="F10" s="11"/>
      <c r="G10" s="11"/>
      <c r="H10" s="11"/>
      <c r="I10" s="11"/>
      <c r="J10" s="11"/>
      <c r="K10" s="11"/>
      <c r="L10" s="11"/>
      <c r="M10" s="11" t="s">
        <v>56</v>
      </c>
      <c r="N10" s="11"/>
    </row>
    <row r="11" customFormat="false" ht="15" hidden="false" customHeight="true" outlineLevel="0" collapsed="false">
      <c r="A11" s="12" t="s">
        <v>119</v>
      </c>
      <c r="B11" s="13" t="s">
        <v>120</v>
      </c>
      <c r="C11" s="13" t="s">
        <v>76</v>
      </c>
      <c r="D11" s="13"/>
      <c r="E11" s="13"/>
      <c r="F11" s="13"/>
      <c r="G11" s="13"/>
      <c r="H11" s="13"/>
      <c r="I11" s="13"/>
      <c r="J11" s="13"/>
      <c r="K11" s="13"/>
      <c r="L11" s="13"/>
      <c r="M11" s="13" t="s">
        <v>56</v>
      </c>
      <c r="N11" s="13"/>
    </row>
    <row r="12" customFormat="false" ht="15" hidden="false" customHeight="true" outlineLevel="0" collapsed="false">
      <c r="A12" s="6" t="s">
        <v>121</v>
      </c>
      <c r="B12" s="11" t="s">
        <v>120</v>
      </c>
      <c r="C12" s="11" t="s">
        <v>122</v>
      </c>
      <c r="D12" s="11"/>
      <c r="E12" s="11"/>
      <c r="F12" s="11"/>
      <c r="G12" s="11"/>
      <c r="H12" s="11"/>
      <c r="I12" s="11"/>
      <c r="J12" s="11"/>
      <c r="K12" s="11"/>
      <c r="L12" s="11"/>
      <c r="M12" s="11" t="s">
        <v>56</v>
      </c>
      <c r="N12" s="11"/>
    </row>
    <row r="13" customFormat="false" ht="15" hidden="false" customHeight="true" outlineLevel="0" collapsed="false">
      <c r="A13" s="12" t="s">
        <v>123</v>
      </c>
      <c r="B13" s="13" t="s">
        <v>124</v>
      </c>
      <c r="C13" s="13" t="s">
        <v>125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56</v>
      </c>
      <c r="N13" s="13"/>
    </row>
    <row r="14" customFormat="false" ht="15" hidden="false" customHeight="true" outlineLevel="0" collapsed="false">
      <c r="A14" s="6" t="s">
        <v>126</v>
      </c>
      <c r="B14" s="11" t="s">
        <v>124</v>
      </c>
      <c r="C14" s="11" t="s">
        <v>125</v>
      </c>
      <c r="D14" s="11"/>
      <c r="E14" s="11"/>
      <c r="F14" s="11"/>
      <c r="G14" s="11"/>
      <c r="H14" s="11"/>
      <c r="I14" s="11"/>
      <c r="J14" s="11"/>
      <c r="K14" s="11"/>
      <c r="L14" s="11"/>
      <c r="M14" s="11" t="s">
        <v>56</v>
      </c>
      <c r="N14" s="11"/>
    </row>
    <row r="15" customFormat="false" ht="15" hidden="false" customHeight="true" outlineLevel="0" collapsed="false">
      <c r="A15" s="12" t="s">
        <v>127</v>
      </c>
      <c r="B15" s="13" t="s">
        <v>128</v>
      </c>
      <c r="C15" s="13" t="s">
        <v>129</v>
      </c>
      <c r="D15" s="13"/>
      <c r="E15" s="13"/>
      <c r="F15" s="13"/>
      <c r="G15" s="13"/>
      <c r="H15" s="13"/>
      <c r="I15" s="13"/>
      <c r="J15" s="13"/>
      <c r="K15" s="13"/>
      <c r="L15" s="13"/>
      <c r="M15" s="13" t="s">
        <v>56</v>
      </c>
      <c r="N15" s="13"/>
    </row>
    <row r="16" customFormat="false" ht="15.75" hidden="false" customHeight="true" outlineLevel="0" collapsed="false">
      <c r="A16" s="14" t="s">
        <v>130</v>
      </c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8" customFormat="false" ht="19.5" hidden="false" customHeight="true" outlineLevel="0" collapsed="false">
      <c r="A18" s="4" t="s">
        <v>131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27.75" hidden="false" customHeight="true" outlineLevel="0" collapsed="false">
      <c r="A19" s="10" t="s">
        <v>132</v>
      </c>
      <c r="B19" s="10" t="s">
        <v>133</v>
      </c>
      <c r="C19" s="10" t="s">
        <v>134</v>
      </c>
      <c r="D19" s="10" t="s">
        <v>135</v>
      </c>
      <c r="E19" s="10" t="s">
        <v>136</v>
      </c>
      <c r="F19" s="10" t="s">
        <v>52</v>
      </c>
    </row>
    <row r="20" customFormat="false" ht="15" hidden="false" customHeight="true" outlineLevel="0" collapsed="false">
      <c r="A20" s="6" t="s">
        <v>137</v>
      </c>
      <c r="B20" s="11"/>
      <c r="C20" s="11"/>
      <c r="D20" s="11" t="s">
        <v>138</v>
      </c>
      <c r="E20" s="11"/>
      <c r="F20" s="11"/>
    </row>
    <row r="21" customFormat="false" ht="15" hidden="false" customHeight="true" outlineLevel="0" collapsed="false">
      <c r="A21" s="12" t="s">
        <v>139</v>
      </c>
      <c r="B21" s="13"/>
      <c r="C21" s="13"/>
      <c r="D21" s="13" t="s">
        <v>138</v>
      </c>
      <c r="E21" s="13"/>
      <c r="F21" s="13"/>
    </row>
    <row r="22" customFormat="false" ht="15" hidden="false" customHeight="true" outlineLevel="0" collapsed="false">
      <c r="A22" s="6" t="s">
        <v>140</v>
      </c>
      <c r="B22" s="11"/>
      <c r="C22" s="11"/>
      <c r="D22" s="11" t="s">
        <v>138</v>
      </c>
      <c r="E22" s="11"/>
      <c r="F22" s="11"/>
    </row>
    <row r="23" customFormat="false" ht="15" hidden="false" customHeight="true" outlineLevel="0" collapsed="false">
      <c r="A23" s="12" t="s">
        <v>141</v>
      </c>
      <c r="B23" s="13"/>
      <c r="C23" s="13"/>
      <c r="D23" s="13" t="s">
        <v>138</v>
      </c>
      <c r="E23" s="13"/>
      <c r="F23" s="13"/>
    </row>
    <row r="25" customFormat="false" ht="4.5" hidden="false" customHeight="true" outlineLevel="0" collapsed="false"/>
    <row r="26" customFormat="false" ht="13.5" hidden="false" customHeight="true" outlineLevel="0" collapsed="false">
      <c r="A26" s="9" t="s">
        <v>37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</sheetData>
  <mergeCells count="6">
    <mergeCell ref="A1:G1"/>
    <mergeCell ref="H1:N1"/>
    <mergeCell ref="A2:N2"/>
    <mergeCell ref="A16:B16"/>
    <mergeCell ref="A18:N18"/>
    <mergeCell ref="A26: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12" min="7" style="0" width="10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4" t="s">
        <v>142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143</v>
      </c>
      <c r="D3" s="10" t="s">
        <v>42</v>
      </c>
      <c r="E3" s="10" t="s">
        <v>43</v>
      </c>
      <c r="F3" s="10" t="s">
        <v>144</v>
      </c>
      <c r="G3" s="10" t="s">
        <v>145</v>
      </c>
      <c r="H3" s="10" t="s">
        <v>48</v>
      </c>
      <c r="I3" s="10" t="s">
        <v>146</v>
      </c>
      <c r="J3" s="10" t="s">
        <v>147</v>
      </c>
      <c r="K3" s="10" t="s">
        <v>49</v>
      </c>
      <c r="L3" s="10" t="s">
        <v>51</v>
      </c>
      <c r="M3" s="10" t="s">
        <v>52</v>
      </c>
    </row>
    <row r="4" customFormat="false" ht="15" hidden="false" customHeight="true" outlineLevel="0" collapsed="false">
      <c r="A4" s="6" t="s">
        <v>148</v>
      </c>
      <c r="B4" s="11" t="s">
        <v>149</v>
      </c>
      <c r="C4" s="11" t="s">
        <v>150</v>
      </c>
      <c r="D4" s="11"/>
      <c r="E4" s="11"/>
      <c r="F4" s="11"/>
      <c r="G4" s="11"/>
      <c r="H4" s="11"/>
      <c r="I4" s="11"/>
      <c r="J4" s="11"/>
      <c r="K4" s="11"/>
      <c r="L4" s="11" t="s">
        <v>56</v>
      </c>
      <c r="M4" s="11"/>
    </row>
    <row r="5" customFormat="false" ht="15" hidden="false" customHeight="true" outlineLevel="0" collapsed="false">
      <c r="A5" s="12" t="s">
        <v>151</v>
      </c>
      <c r="B5" s="13" t="s">
        <v>149</v>
      </c>
      <c r="C5" s="13" t="s">
        <v>152</v>
      </c>
      <c r="D5" s="13"/>
      <c r="E5" s="13"/>
      <c r="F5" s="13"/>
      <c r="G5" s="13"/>
      <c r="H5" s="13"/>
      <c r="I5" s="13"/>
      <c r="J5" s="13"/>
      <c r="K5" s="13"/>
      <c r="L5" s="13" t="s">
        <v>56</v>
      </c>
      <c r="M5" s="13"/>
    </row>
    <row r="6" customFormat="false" ht="15" hidden="false" customHeight="true" outlineLevel="0" collapsed="false">
      <c r="A6" s="6" t="s">
        <v>153</v>
      </c>
      <c r="B6" s="11" t="s">
        <v>154</v>
      </c>
      <c r="C6" s="11" t="s">
        <v>90</v>
      </c>
      <c r="D6" s="11"/>
      <c r="E6" s="11"/>
      <c r="F6" s="11"/>
      <c r="G6" s="11"/>
      <c r="H6" s="11"/>
      <c r="I6" s="11"/>
      <c r="J6" s="11"/>
      <c r="K6" s="11"/>
      <c r="L6" s="11" t="s">
        <v>56</v>
      </c>
      <c r="M6" s="11"/>
    </row>
    <row r="7" customFormat="false" ht="15" hidden="false" customHeight="true" outlineLevel="0" collapsed="false">
      <c r="A7" s="12" t="s">
        <v>155</v>
      </c>
      <c r="B7" s="13" t="s">
        <v>156</v>
      </c>
      <c r="C7" s="13" t="s">
        <v>157</v>
      </c>
      <c r="D7" s="13"/>
      <c r="E7" s="13"/>
      <c r="F7" s="13"/>
      <c r="G7" s="13"/>
      <c r="H7" s="13"/>
      <c r="I7" s="13"/>
      <c r="J7" s="13"/>
      <c r="K7" s="13"/>
      <c r="L7" s="13" t="s">
        <v>56</v>
      </c>
      <c r="M7" s="13"/>
    </row>
    <row r="8" customFormat="false" ht="15" hidden="false" customHeight="true" outlineLevel="0" collapsed="false">
      <c r="A8" s="6" t="s">
        <v>158</v>
      </c>
      <c r="B8" s="11" t="s">
        <v>159</v>
      </c>
      <c r="C8" s="11" t="s">
        <v>160</v>
      </c>
      <c r="D8" s="11"/>
      <c r="E8" s="11"/>
      <c r="F8" s="11"/>
      <c r="G8" s="11"/>
      <c r="H8" s="11"/>
      <c r="I8" s="11"/>
      <c r="J8" s="11"/>
      <c r="K8" s="11"/>
      <c r="L8" s="11" t="s">
        <v>56</v>
      </c>
      <c r="M8" s="11"/>
    </row>
    <row r="9" customFormat="false" ht="15" hidden="false" customHeight="true" outlineLevel="0" collapsed="false">
      <c r="A9" s="12" t="s">
        <v>161</v>
      </c>
      <c r="B9" s="13" t="s">
        <v>162</v>
      </c>
      <c r="C9" s="13" t="s">
        <v>163</v>
      </c>
      <c r="D9" s="13"/>
      <c r="E9" s="13"/>
      <c r="F9" s="13"/>
      <c r="G9" s="13"/>
      <c r="H9" s="13"/>
      <c r="I9" s="13"/>
      <c r="J9" s="13"/>
      <c r="K9" s="13"/>
      <c r="L9" s="13" t="s">
        <v>56</v>
      </c>
      <c r="M9" s="13"/>
    </row>
    <row r="10" customFormat="false" ht="15" hidden="false" customHeight="true" outlineLevel="0" collapsed="false">
      <c r="A10" s="6" t="s">
        <v>164</v>
      </c>
      <c r="B10" s="11" t="s">
        <v>165</v>
      </c>
      <c r="C10" s="11" t="s">
        <v>163</v>
      </c>
      <c r="D10" s="11"/>
      <c r="E10" s="11"/>
      <c r="F10" s="11"/>
      <c r="G10" s="11"/>
      <c r="H10" s="11"/>
      <c r="I10" s="11"/>
      <c r="J10" s="11"/>
      <c r="K10" s="11"/>
      <c r="L10" s="11" t="s">
        <v>56</v>
      </c>
      <c r="M10" s="11"/>
    </row>
    <row r="11" customFormat="false" ht="15" hidden="false" customHeight="true" outlineLevel="0" collapsed="false">
      <c r="A11" s="12" t="s">
        <v>166</v>
      </c>
      <c r="B11" s="13" t="s">
        <v>167</v>
      </c>
      <c r="C11" s="13" t="s">
        <v>168</v>
      </c>
      <c r="D11" s="13"/>
      <c r="E11" s="13"/>
      <c r="F11" s="13"/>
      <c r="G11" s="13"/>
      <c r="H11" s="13"/>
      <c r="I11" s="13"/>
      <c r="J11" s="13"/>
      <c r="K11" s="13"/>
      <c r="L11" s="13" t="s">
        <v>56</v>
      </c>
      <c r="M11" s="13"/>
    </row>
    <row r="12" customFormat="false" ht="15" hidden="false" customHeight="true" outlineLevel="0" collapsed="false">
      <c r="A12" s="6" t="s">
        <v>169</v>
      </c>
      <c r="B12" s="11" t="s">
        <v>167</v>
      </c>
      <c r="C12" s="11" t="s">
        <v>170</v>
      </c>
      <c r="D12" s="11"/>
      <c r="E12" s="11"/>
      <c r="F12" s="11"/>
      <c r="G12" s="11"/>
      <c r="H12" s="11"/>
      <c r="I12" s="11"/>
      <c r="J12" s="11"/>
      <c r="K12" s="11"/>
      <c r="L12" s="11" t="s">
        <v>56</v>
      </c>
      <c r="M12" s="11"/>
    </row>
    <row r="13" customFormat="false" ht="15" hidden="false" customHeight="true" outlineLevel="0" collapsed="false">
      <c r="A13" s="12" t="s">
        <v>171</v>
      </c>
      <c r="B13" s="13" t="s">
        <v>167</v>
      </c>
      <c r="C13" s="13" t="s">
        <v>172</v>
      </c>
      <c r="D13" s="13"/>
      <c r="E13" s="13"/>
      <c r="F13" s="13"/>
      <c r="G13" s="13"/>
      <c r="H13" s="13"/>
      <c r="I13" s="13"/>
      <c r="J13" s="13"/>
      <c r="K13" s="13"/>
      <c r="L13" s="13" t="s">
        <v>56</v>
      </c>
      <c r="M13" s="13"/>
    </row>
    <row r="14" customFormat="false" ht="15" hidden="false" customHeight="true" outlineLevel="0" collapsed="false">
      <c r="A14" s="6" t="s">
        <v>173</v>
      </c>
      <c r="B14" s="11" t="s">
        <v>174</v>
      </c>
      <c r="C14" s="11" t="s">
        <v>61</v>
      </c>
      <c r="D14" s="11"/>
      <c r="E14" s="11"/>
      <c r="F14" s="11"/>
      <c r="G14" s="11"/>
      <c r="H14" s="11"/>
      <c r="I14" s="11"/>
      <c r="J14" s="11"/>
      <c r="K14" s="11"/>
      <c r="L14" s="11" t="s">
        <v>56</v>
      </c>
      <c r="M14" s="11"/>
    </row>
    <row r="15" customFormat="false" ht="15" hidden="false" customHeight="true" outlineLevel="0" collapsed="false">
      <c r="A15" s="12" t="s">
        <v>175</v>
      </c>
      <c r="B15" s="13" t="s">
        <v>174</v>
      </c>
      <c r="C15" s="13" t="s">
        <v>63</v>
      </c>
      <c r="D15" s="13"/>
      <c r="E15" s="13"/>
      <c r="F15" s="13"/>
      <c r="G15" s="13"/>
      <c r="H15" s="13"/>
      <c r="I15" s="13"/>
      <c r="J15" s="13"/>
      <c r="K15" s="13"/>
      <c r="L15" s="13" t="s">
        <v>56</v>
      </c>
      <c r="M15" s="13"/>
    </row>
    <row r="16" customFormat="false" ht="15" hidden="false" customHeight="true" outlineLevel="0" collapsed="false">
      <c r="A16" s="6" t="s">
        <v>176</v>
      </c>
      <c r="B16" s="11" t="s">
        <v>177</v>
      </c>
      <c r="C16" s="11" t="s">
        <v>178</v>
      </c>
      <c r="D16" s="11"/>
      <c r="E16" s="11"/>
      <c r="F16" s="11"/>
      <c r="G16" s="11"/>
      <c r="H16" s="11"/>
      <c r="I16" s="11"/>
      <c r="J16" s="11"/>
      <c r="K16" s="11"/>
      <c r="L16" s="11" t="s">
        <v>56</v>
      </c>
      <c r="M16" s="11"/>
    </row>
    <row r="17" customFormat="false" ht="15" hidden="false" customHeight="true" outlineLevel="0" collapsed="false">
      <c r="A17" s="12" t="s">
        <v>179</v>
      </c>
      <c r="B17" s="13" t="s">
        <v>180</v>
      </c>
      <c r="C17" s="13" t="s">
        <v>181</v>
      </c>
      <c r="D17" s="13"/>
      <c r="E17" s="13"/>
      <c r="F17" s="13"/>
      <c r="G17" s="13"/>
      <c r="H17" s="13"/>
      <c r="I17" s="13"/>
      <c r="J17" s="13"/>
      <c r="K17" s="13"/>
      <c r="L17" s="13" t="s">
        <v>56</v>
      </c>
      <c r="M17" s="13"/>
    </row>
    <row r="18" customFormat="false" ht="15" hidden="false" customHeight="true" outlineLevel="0" collapsed="false">
      <c r="A18" s="6" t="s">
        <v>182</v>
      </c>
      <c r="B18" s="11" t="s">
        <v>183</v>
      </c>
      <c r="C18" s="11" t="s">
        <v>184</v>
      </c>
      <c r="D18" s="11"/>
      <c r="E18" s="11"/>
      <c r="F18" s="11"/>
      <c r="G18" s="11"/>
      <c r="H18" s="11"/>
      <c r="I18" s="11"/>
      <c r="J18" s="11"/>
      <c r="K18" s="11"/>
      <c r="L18" s="11" t="s">
        <v>56</v>
      </c>
      <c r="M18" s="11"/>
    </row>
    <row r="19" customFormat="false" ht="15.75" hidden="false" customHeight="true" outlineLevel="0" collapsed="false">
      <c r="A19" s="17" t="s">
        <v>185</v>
      </c>
      <c r="B19" s="17"/>
      <c r="C19" s="18"/>
      <c r="D19" s="18"/>
      <c r="E19" s="18"/>
      <c r="F19" s="19" t="n">
        <f aca="false">SUM(F4:F18)</f>
        <v>0</v>
      </c>
      <c r="G19" s="19" t="n">
        <f aca="false">SUM(G4:G18)</f>
        <v>0</v>
      </c>
      <c r="H19" s="18"/>
      <c r="I19" s="18"/>
      <c r="J19" s="18"/>
      <c r="K19" s="18"/>
      <c r="L19" s="18"/>
      <c r="M19" s="18"/>
    </row>
    <row r="21" customFormat="false" ht="4.5" hidden="false" customHeight="true" outlineLevel="0" collapsed="false"/>
    <row r="22" customFormat="false" ht="13.5" hidden="false" customHeight="true" outlineLevel="0" collapsed="false">
      <c r="A22" s="9" t="s">
        <v>37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</sheetData>
  <mergeCells count="5">
    <mergeCell ref="A1:F1"/>
    <mergeCell ref="G1:M1"/>
    <mergeCell ref="A2:M2"/>
    <mergeCell ref="A19:B19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13" min="6" style="0" width="10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4" t="s">
        <v>186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187</v>
      </c>
      <c r="D3" s="10" t="s">
        <v>42</v>
      </c>
      <c r="E3" s="10" t="s">
        <v>43</v>
      </c>
      <c r="F3" s="10" t="s">
        <v>188</v>
      </c>
      <c r="G3" s="10" t="s">
        <v>189</v>
      </c>
      <c r="H3" s="10" t="s">
        <v>48</v>
      </c>
      <c r="I3" s="10" t="s">
        <v>49</v>
      </c>
      <c r="J3" s="10" t="s">
        <v>190</v>
      </c>
      <c r="K3" s="10" t="s">
        <v>191</v>
      </c>
      <c r="L3" s="10" t="s">
        <v>192</v>
      </c>
      <c r="M3" s="10" t="s">
        <v>51</v>
      </c>
      <c r="N3" s="10" t="s">
        <v>52</v>
      </c>
    </row>
    <row r="4" customFormat="false" ht="15" hidden="false" customHeight="true" outlineLevel="0" collapsed="false">
      <c r="A4" s="6" t="s">
        <v>193</v>
      </c>
      <c r="B4" s="11" t="s">
        <v>194</v>
      </c>
      <c r="C4" s="11" t="s">
        <v>115</v>
      </c>
      <c r="D4" s="11"/>
      <c r="E4" s="11"/>
      <c r="F4" s="11"/>
      <c r="G4" s="11"/>
      <c r="H4" s="11"/>
      <c r="I4" s="11"/>
      <c r="J4" s="11"/>
      <c r="K4" s="11"/>
      <c r="L4" s="11"/>
      <c r="M4" s="11" t="s">
        <v>56</v>
      </c>
      <c r="N4" s="11"/>
    </row>
    <row r="5" customFormat="false" ht="15" hidden="false" customHeight="true" outlineLevel="0" collapsed="false">
      <c r="A5" s="12" t="s">
        <v>195</v>
      </c>
      <c r="B5" s="13" t="s">
        <v>196</v>
      </c>
      <c r="C5" s="13" t="s">
        <v>115</v>
      </c>
      <c r="D5" s="13"/>
      <c r="E5" s="13"/>
      <c r="F5" s="13"/>
      <c r="G5" s="13"/>
      <c r="H5" s="13"/>
      <c r="I5" s="13"/>
      <c r="J5" s="13"/>
      <c r="K5" s="13"/>
      <c r="L5" s="13"/>
      <c r="M5" s="13" t="s">
        <v>56</v>
      </c>
      <c r="N5" s="13"/>
    </row>
    <row r="6" customFormat="false" ht="15" hidden="false" customHeight="true" outlineLevel="0" collapsed="false">
      <c r="A6" s="6" t="s">
        <v>197</v>
      </c>
      <c r="B6" s="11" t="s">
        <v>198</v>
      </c>
      <c r="C6" s="11" t="s">
        <v>115</v>
      </c>
      <c r="D6" s="11"/>
      <c r="E6" s="11"/>
      <c r="F6" s="11"/>
      <c r="G6" s="11"/>
      <c r="H6" s="11"/>
      <c r="I6" s="11"/>
      <c r="J6" s="11"/>
      <c r="K6" s="11"/>
      <c r="L6" s="11"/>
      <c r="M6" s="11" t="s">
        <v>56</v>
      </c>
      <c r="N6" s="11"/>
    </row>
    <row r="7" customFormat="false" ht="15" hidden="false" customHeight="true" outlineLevel="0" collapsed="false">
      <c r="A7" s="12" t="s">
        <v>199</v>
      </c>
      <c r="B7" s="13" t="s">
        <v>200</v>
      </c>
      <c r="C7" s="13" t="s">
        <v>201</v>
      </c>
      <c r="D7" s="13"/>
      <c r="E7" s="13"/>
      <c r="F7" s="13"/>
      <c r="G7" s="13"/>
      <c r="H7" s="13"/>
      <c r="I7" s="13"/>
      <c r="J7" s="13"/>
      <c r="K7" s="13"/>
      <c r="L7" s="13"/>
      <c r="M7" s="13" t="s">
        <v>56</v>
      </c>
      <c r="N7" s="13"/>
    </row>
    <row r="8" customFormat="false" ht="15" hidden="false" customHeight="true" outlineLevel="0" collapsed="false">
      <c r="A8" s="6" t="s">
        <v>202</v>
      </c>
      <c r="B8" s="11" t="s">
        <v>203</v>
      </c>
      <c r="C8" s="11" t="s">
        <v>201</v>
      </c>
      <c r="D8" s="11"/>
      <c r="E8" s="11"/>
      <c r="F8" s="11"/>
      <c r="G8" s="11"/>
      <c r="H8" s="11"/>
      <c r="I8" s="11"/>
      <c r="J8" s="11"/>
      <c r="K8" s="11"/>
      <c r="L8" s="11"/>
      <c r="M8" s="11" t="s">
        <v>56</v>
      </c>
      <c r="N8" s="11"/>
    </row>
    <row r="9" customFormat="false" ht="15" hidden="false" customHeight="true" outlineLevel="0" collapsed="false">
      <c r="A9" s="12" t="s">
        <v>204</v>
      </c>
      <c r="B9" s="13" t="s">
        <v>205</v>
      </c>
      <c r="C9" s="13" t="s">
        <v>206</v>
      </c>
      <c r="D9" s="13"/>
      <c r="E9" s="13"/>
      <c r="F9" s="13"/>
      <c r="G9" s="13"/>
      <c r="H9" s="13"/>
      <c r="I9" s="13"/>
      <c r="J9" s="13"/>
      <c r="K9" s="13"/>
      <c r="L9" s="13"/>
      <c r="M9" s="13" t="s">
        <v>56</v>
      </c>
      <c r="N9" s="13"/>
    </row>
    <row r="10" customFormat="false" ht="15" hidden="false" customHeight="true" outlineLevel="0" collapsed="false">
      <c r="A10" s="6" t="s">
        <v>207</v>
      </c>
      <c r="B10" s="11" t="s">
        <v>208</v>
      </c>
      <c r="C10" s="11" t="s">
        <v>201</v>
      </c>
      <c r="D10" s="11"/>
      <c r="E10" s="11"/>
      <c r="F10" s="11"/>
      <c r="G10" s="11"/>
      <c r="H10" s="11"/>
      <c r="I10" s="11"/>
      <c r="J10" s="11"/>
      <c r="K10" s="11"/>
      <c r="L10" s="11"/>
      <c r="M10" s="11" t="s">
        <v>56</v>
      </c>
      <c r="N10" s="11"/>
    </row>
    <row r="11" customFormat="false" ht="15" hidden="false" customHeight="true" outlineLevel="0" collapsed="false">
      <c r="A11" s="12" t="s">
        <v>209</v>
      </c>
      <c r="B11" s="13" t="s">
        <v>208</v>
      </c>
      <c r="C11" s="13" t="s">
        <v>201</v>
      </c>
      <c r="D11" s="13"/>
      <c r="E11" s="13"/>
      <c r="F11" s="13"/>
      <c r="G11" s="13"/>
      <c r="H11" s="13"/>
      <c r="I11" s="13"/>
      <c r="J11" s="13"/>
      <c r="K11" s="13"/>
      <c r="L11" s="13"/>
      <c r="M11" s="13" t="s">
        <v>56</v>
      </c>
      <c r="N11" s="13"/>
    </row>
    <row r="12" customFormat="false" ht="15" hidden="false" customHeight="true" outlineLevel="0" collapsed="false">
      <c r="A12" s="6" t="s">
        <v>210</v>
      </c>
      <c r="B12" s="11" t="s">
        <v>211</v>
      </c>
      <c r="C12" s="11" t="s">
        <v>115</v>
      </c>
      <c r="D12" s="11"/>
      <c r="E12" s="11"/>
      <c r="F12" s="11"/>
      <c r="G12" s="11"/>
      <c r="H12" s="11"/>
      <c r="I12" s="11"/>
      <c r="J12" s="11"/>
      <c r="K12" s="11"/>
      <c r="L12" s="11"/>
      <c r="M12" s="11" t="s">
        <v>56</v>
      </c>
      <c r="N12" s="11"/>
    </row>
    <row r="13" customFormat="false" ht="15" hidden="false" customHeight="true" outlineLevel="0" collapsed="false">
      <c r="A13" s="12" t="s">
        <v>212</v>
      </c>
      <c r="B13" s="13" t="s">
        <v>213</v>
      </c>
      <c r="C13" s="13" t="s">
        <v>201</v>
      </c>
      <c r="D13" s="13"/>
      <c r="E13" s="13"/>
      <c r="F13" s="13"/>
      <c r="G13" s="13"/>
      <c r="H13" s="13"/>
      <c r="I13" s="13"/>
      <c r="J13" s="13"/>
      <c r="K13" s="13"/>
      <c r="L13" s="13"/>
      <c r="M13" s="13" t="s">
        <v>56</v>
      </c>
      <c r="N13" s="13"/>
    </row>
    <row r="14" customFormat="false" ht="15" hidden="false" customHeight="true" outlineLevel="0" collapsed="false">
      <c r="A14" s="6" t="s">
        <v>214</v>
      </c>
      <c r="B14" s="11" t="s">
        <v>215</v>
      </c>
      <c r="C14" s="11" t="s">
        <v>178</v>
      </c>
      <c r="D14" s="11"/>
      <c r="E14" s="11"/>
      <c r="F14" s="11"/>
      <c r="G14" s="11"/>
      <c r="H14" s="11"/>
      <c r="I14" s="11"/>
      <c r="J14" s="11"/>
      <c r="K14" s="11"/>
      <c r="L14" s="11"/>
      <c r="M14" s="11" t="s">
        <v>56</v>
      </c>
      <c r="N14" s="11"/>
    </row>
    <row r="15" customFormat="false" ht="15" hidden="false" customHeight="true" outlineLevel="0" collapsed="false">
      <c r="A15" s="12" t="s">
        <v>216</v>
      </c>
      <c r="B15" s="13" t="s">
        <v>217</v>
      </c>
      <c r="C15" s="13" t="s">
        <v>201</v>
      </c>
      <c r="D15" s="13"/>
      <c r="E15" s="13"/>
      <c r="F15" s="13"/>
      <c r="G15" s="13"/>
      <c r="H15" s="13"/>
      <c r="I15" s="13"/>
      <c r="J15" s="13"/>
      <c r="K15" s="13"/>
      <c r="L15" s="13"/>
      <c r="M15" s="13" t="s">
        <v>56</v>
      </c>
      <c r="N15" s="13"/>
    </row>
    <row r="16" customFormat="false" ht="15" hidden="false" customHeight="true" outlineLevel="0" collapsed="false">
      <c r="A16" s="6" t="s">
        <v>218</v>
      </c>
      <c r="B16" s="11" t="s">
        <v>219</v>
      </c>
      <c r="C16" s="11" t="s">
        <v>220</v>
      </c>
      <c r="D16" s="11"/>
      <c r="E16" s="11"/>
      <c r="F16" s="11"/>
      <c r="G16" s="11"/>
      <c r="H16" s="11"/>
      <c r="I16" s="11"/>
      <c r="J16" s="11"/>
      <c r="K16" s="11"/>
      <c r="L16" s="11"/>
      <c r="M16" s="11" t="s">
        <v>56</v>
      </c>
      <c r="N16" s="11"/>
    </row>
    <row r="17" customFormat="false" ht="15" hidden="false" customHeight="true" outlineLevel="0" collapsed="false">
      <c r="A17" s="12" t="s">
        <v>221</v>
      </c>
      <c r="B17" s="13" t="s">
        <v>222</v>
      </c>
      <c r="C17" s="13" t="s">
        <v>223</v>
      </c>
      <c r="D17" s="13"/>
      <c r="E17" s="13"/>
      <c r="F17" s="13"/>
      <c r="G17" s="13"/>
      <c r="H17" s="13"/>
      <c r="I17" s="13"/>
      <c r="J17" s="13"/>
      <c r="K17" s="13"/>
      <c r="L17" s="13"/>
      <c r="M17" s="13" t="s">
        <v>56</v>
      </c>
      <c r="N17" s="13"/>
    </row>
    <row r="18" customFormat="false" ht="15" hidden="false" customHeight="true" outlineLevel="0" collapsed="false">
      <c r="A18" s="6" t="s">
        <v>224</v>
      </c>
      <c r="B18" s="11" t="s">
        <v>225</v>
      </c>
      <c r="C18" s="11" t="s">
        <v>226</v>
      </c>
      <c r="D18" s="11"/>
      <c r="E18" s="11"/>
      <c r="F18" s="11"/>
      <c r="G18" s="11"/>
      <c r="H18" s="11"/>
      <c r="I18" s="11"/>
      <c r="J18" s="11"/>
      <c r="K18" s="11"/>
      <c r="L18" s="11"/>
      <c r="M18" s="11" t="s">
        <v>56</v>
      </c>
      <c r="N18" s="11"/>
    </row>
    <row r="19" customFormat="false" ht="15.75" hidden="false" customHeight="true" outlineLevel="0" collapsed="false">
      <c r="A19" s="14" t="s">
        <v>91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1" customFormat="false" ht="4.5" hidden="false" customHeight="true" outlineLevel="0" collapsed="false"/>
    <row r="22" customFormat="false" ht="13.5" hidden="false" customHeight="true" outlineLevel="0" collapsed="false">
      <c r="A22" s="9" t="s">
        <v>37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</sheetData>
  <mergeCells count="5">
    <mergeCell ref="A1:G1"/>
    <mergeCell ref="H1:N1"/>
    <mergeCell ref="A2:N2"/>
    <mergeCell ref="A19:B19"/>
    <mergeCell ref="A22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12" min="6" style="0" width="10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4" t="s">
        <v>227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228</v>
      </c>
      <c r="D3" s="10" t="s">
        <v>42</v>
      </c>
      <c r="E3" s="10" t="s">
        <v>43</v>
      </c>
      <c r="F3" s="10" t="s">
        <v>144</v>
      </c>
      <c r="G3" s="10" t="s">
        <v>229</v>
      </c>
      <c r="H3" s="10" t="s">
        <v>230</v>
      </c>
      <c r="I3" s="10" t="s">
        <v>231</v>
      </c>
      <c r="J3" s="10" t="s">
        <v>232</v>
      </c>
      <c r="K3" s="10" t="s">
        <v>233</v>
      </c>
      <c r="L3" s="10" t="s">
        <v>51</v>
      </c>
      <c r="M3" s="10" t="s">
        <v>52</v>
      </c>
    </row>
    <row r="4" customFormat="false" ht="15" hidden="false" customHeight="true" outlineLevel="0" collapsed="false">
      <c r="A4" s="6" t="s">
        <v>234</v>
      </c>
      <c r="B4" s="11" t="s">
        <v>235</v>
      </c>
      <c r="C4" s="11" t="s">
        <v>236</v>
      </c>
      <c r="D4" s="11"/>
      <c r="E4" s="11"/>
      <c r="F4" s="11"/>
      <c r="G4" s="11"/>
      <c r="H4" s="11"/>
      <c r="I4" s="11"/>
      <c r="J4" s="11" t="s">
        <v>237</v>
      </c>
      <c r="K4" s="11"/>
      <c r="L4" s="11" t="s">
        <v>56</v>
      </c>
      <c r="M4" s="11"/>
    </row>
    <row r="5" customFormat="false" ht="15" hidden="false" customHeight="true" outlineLevel="0" collapsed="false">
      <c r="A5" s="12" t="s">
        <v>238</v>
      </c>
      <c r="B5" s="13" t="s">
        <v>235</v>
      </c>
      <c r="C5" s="13" t="s">
        <v>239</v>
      </c>
      <c r="D5" s="13"/>
      <c r="E5" s="13"/>
      <c r="F5" s="13"/>
      <c r="G5" s="13"/>
      <c r="H5" s="13"/>
      <c r="I5" s="13"/>
      <c r="J5" s="13" t="s">
        <v>237</v>
      </c>
      <c r="K5" s="13"/>
      <c r="L5" s="13" t="s">
        <v>56</v>
      </c>
      <c r="M5" s="13"/>
    </row>
    <row r="6" customFormat="false" ht="15" hidden="false" customHeight="true" outlineLevel="0" collapsed="false">
      <c r="A6" s="6" t="s">
        <v>240</v>
      </c>
      <c r="B6" s="11" t="s">
        <v>241</v>
      </c>
      <c r="C6" s="11" t="s">
        <v>242</v>
      </c>
      <c r="D6" s="11"/>
      <c r="E6" s="11"/>
      <c r="F6" s="11"/>
      <c r="G6" s="11"/>
      <c r="H6" s="11"/>
      <c r="I6" s="11"/>
      <c r="J6" s="11" t="s">
        <v>237</v>
      </c>
      <c r="K6" s="11"/>
      <c r="L6" s="11" t="s">
        <v>56</v>
      </c>
      <c r="M6" s="11"/>
    </row>
    <row r="7" customFormat="false" ht="15" hidden="false" customHeight="true" outlineLevel="0" collapsed="false">
      <c r="A7" s="12" t="s">
        <v>243</v>
      </c>
      <c r="B7" s="13" t="s">
        <v>241</v>
      </c>
      <c r="C7" s="13" t="s">
        <v>244</v>
      </c>
      <c r="D7" s="13"/>
      <c r="E7" s="13"/>
      <c r="F7" s="13"/>
      <c r="G7" s="13"/>
      <c r="H7" s="13"/>
      <c r="I7" s="13"/>
      <c r="J7" s="13" t="s">
        <v>237</v>
      </c>
      <c r="K7" s="13"/>
      <c r="L7" s="13" t="s">
        <v>56</v>
      </c>
      <c r="M7" s="13"/>
    </row>
    <row r="8" customFormat="false" ht="15" hidden="false" customHeight="true" outlineLevel="0" collapsed="false">
      <c r="A8" s="6" t="s">
        <v>245</v>
      </c>
      <c r="B8" s="11" t="s">
        <v>235</v>
      </c>
      <c r="C8" s="11" t="s">
        <v>246</v>
      </c>
      <c r="D8" s="11"/>
      <c r="E8" s="11"/>
      <c r="F8" s="11"/>
      <c r="G8" s="11"/>
      <c r="H8" s="11"/>
      <c r="I8" s="11"/>
      <c r="J8" s="11" t="s">
        <v>237</v>
      </c>
      <c r="K8" s="11"/>
      <c r="L8" s="11" t="s">
        <v>56</v>
      </c>
      <c r="M8" s="11"/>
    </row>
    <row r="9" customFormat="false" ht="15" hidden="false" customHeight="true" outlineLevel="0" collapsed="false">
      <c r="A9" s="12" t="s">
        <v>247</v>
      </c>
      <c r="B9" s="13" t="s">
        <v>235</v>
      </c>
      <c r="C9" s="13" t="s">
        <v>248</v>
      </c>
      <c r="D9" s="13"/>
      <c r="E9" s="13"/>
      <c r="F9" s="13"/>
      <c r="G9" s="13"/>
      <c r="H9" s="13"/>
      <c r="I9" s="13"/>
      <c r="J9" s="13" t="s">
        <v>237</v>
      </c>
      <c r="K9" s="13"/>
      <c r="L9" s="13" t="s">
        <v>56</v>
      </c>
      <c r="M9" s="13"/>
    </row>
    <row r="10" customFormat="false" ht="15" hidden="false" customHeight="true" outlineLevel="0" collapsed="false">
      <c r="A10" s="6" t="s">
        <v>249</v>
      </c>
      <c r="B10" s="11" t="s">
        <v>241</v>
      </c>
      <c r="C10" s="11" t="s">
        <v>250</v>
      </c>
      <c r="D10" s="11"/>
      <c r="E10" s="11"/>
      <c r="F10" s="11"/>
      <c r="G10" s="11"/>
      <c r="H10" s="11"/>
      <c r="I10" s="11"/>
      <c r="J10" s="11" t="s">
        <v>237</v>
      </c>
      <c r="K10" s="11"/>
      <c r="L10" s="11" t="s">
        <v>56</v>
      </c>
      <c r="M10" s="11"/>
    </row>
    <row r="11" customFormat="false" ht="15" hidden="false" customHeight="true" outlineLevel="0" collapsed="false">
      <c r="A11" s="12" t="s">
        <v>251</v>
      </c>
      <c r="B11" s="13" t="s">
        <v>241</v>
      </c>
      <c r="C11" s="13" t="s">
        <v>252</v>
      </c>
      <c r="D11" s="13"/>
      <c r="E11" s="13"/>
      <c r="F11" s="13"/>
      <c r="G11" s="13"/>
      <c r="H11" s="13"/>
      <c r="I11" s="13"/>
      <c r="J11" s="13" t="s">
        <v>237</v>
      </c>
      <c r="K11" s="13"/>
      <c r="L11" s="13" t="s">
        <v>56</v>
      </c>
      <c r="M11" s="13"/>
    </row>
    <row r="12" customFormat="false" ht="15" hidden="false" customHeight="true" outlineLevel="0" collapsed="false">
      <c r="A12" s="6" t="s">
        <v>253</v>
      </c>
      <c r="B12" s="11" t="s">
        <v>254</v>
      </c>
      <c r="C12" s="11" t="s">
        <v>76</v>
      </c>
      <c r="D12" s="11"/>
      <c r="E12" s="11"/>
      <c r="F12" s="11"/>
      <c r="G12" s="11"/>
      <c r="H12" s="11"/>
      <c r="I12" s="11"/>
      <c r="J12" s="11" t="s">
        <v>237</v>
      </c>
      <c r="K12" s="11"/>
      <c r="L12" s="11" t="s">
        <v>56</v>
      </c>
      <c r="M12" s="11"/>
    </row>
    <row r="13" customFormat="false" ht="15" hidden="false" customHeight="true" outlineLevel="0" collapsed="false">
      <c r="A13" s="12" t="s">
        <v>255</v>
      </c>
      <c r="B13" s="13" t="s">
        <v>254</v>
      </c>
      <c r="C13" s="13" t="s">
        <v>256</v>
      </c>
      <c r="D13" s="13"/>
      <c r="E13" s="13"/>
      <c r="F13" s="13"/>
      <c r="G13" s="13"/>
      <c r="H13" s="13"/>
      <c r="I13" s="13"/>
      <c r="J13" s="13" t="s">
        <v>237</v>
      </c>
      <c r="K13" s="13"/>
      <c r="L13" s="13" t="s">
        <v>56</v>
      </c>
      <c r="M13" s="13"/>
    </row>
    <row r="14" customFormat="false" ht="15" hidden="false" customHeight="true" outlineLevel="0" collapsed="false">
      <c r="A14" s="6" t="s">
        <v>257</v>
      </c>
      <c r="B14" s="11" t="s">
        <v>258</v>
      </c>
      <c r="C14" s="11" t="s">
        <v>259</v>
      </c>
      <c r="D14" s="11"/>
      <c r="E14" s="11"/>
      <c r="F14" s="11"/>
      <c r="G14" s="11"/>
      <c r="H14" s="11"/>
      <c r="I14" s="11"/>
      <c r="J14" s="11" t="s">
        <v>237</v>
      </c>
      <c r="K14" s="11"/>
      <c r="L14" s="11" t="s">
        <v>56</v>
      </c>
      <c r="M14" s="11"/>
    </row>
    <row r="15" customFormat="false" ht="15" hidden="false" customHeight="true" outlineLevel="0" collapsed="false">
      <c r="A15" s="12" t="s">
        <v>260</v>
      </c>
      <c r="B15" s="13" t="s">
        <v>258</v>
      </c>
      <c r="C15" s="13" t="s">
        <v>261</v>
      </c>
      <c r="D15" s="13"/>
      <c r="E15" s="13"/>
      <c r="F15" s="13"/>
      <c r="G15" s="13"/>
      <c r="H15" s="13"/>
      <c r="I15" s="13"/>
      <c r="J15" s="13" t="s">
        <v>237</v>
      </c>
      <c r="K15" s="13"/>
      <c r="L15" s="13" t="s">
        <v>56</v>
      </c>
      <c r="M15" s="13"/>
    </row>
    <row r="16" customFormat="false" ht="15" hidden="false" customHeight="true" outlineLevel="0" collapsed="false">
      <c r="A16" s="6" t="s">
        <v>262</v>
      </c>
      <c r="B16" s="11" t="s">
        <v>75</v>
      </c>
      <c r="C16" s="11" t="s">
        <v>263</v>
      </c>
      <c r="D16" s="11"/>
      <c r="E16" s="11"/>
      <c r="F16" s="11"/>
      <c r="G16" s="11"/>
      <c r="H16" s="11"/>
      <c r="I16" s="11"/>
      <c r="J16" s="11" t="s">
        <v>264</v>
      </c>
      <c r="K16" s="11"/>
      <c r="L16" s="11" t="s">
        <v>56</v>
      </c>
      <c r="M16" s="11"/>
    </row>
    <row r="17" customFormat="false" ht="15" hidden="false" customHeight="true" outlineLevel="0" collapsed="false">
      <c r="A17" s="12" t="s">
        <v>265</v>
      </c>
      <c r="B17" s="13" t="s">
        <v>75</v>
      </c>
      <c r="C17" s="13" t="s">
        <v>266</v>
      </c>
      <c r="D17" s="13"/>
      <c r="E17" s="13"/>
      <c r="F17" s="13"/>
      <c r="G17" s="13"/>
      <c r="H17" s="13"/>
      <c r="I17" s="13"/>
      <c r="J17" s="13" t="s">
        <v>264</v>
      </c>
      <c r="K17" s="13"/>
      <c r="L17" s="13" t="s">
        <v>56</v>
      </c>
      <c r="M17" s="13"/>
    </row>
    <row r="18" customFormat="false" ht="15" hidden="false" customHeight="true" outlineLevel="0" collapsed="false">
      <c r="A18" s="6" t="s">
        <v>267</v>
      </c>
      <c r="B18" s="11" t="s">
        <v>268</v>
      </c>
      <c r="C18" s="11" t="s">
        <v>90</v>
      </c>
      <c r="D18" s="11"/>
      <c r="E18" s="11"/>
      <c r="F18" s="11"/>
      <c r="G18" s="11"/>
      <c r="H18" s="11"/>
      <c r="I18" s="11"/>
      <c r="J18" s="11" t="s">
        <v>237</v>
      </c>
      <c r="K18" s="11"/>
      <c r="L18" s="11" t="s">
        <v>56</v>
      </c>
      <c r="M18" s="11"/>
    </row>
    <row r="19" customFormat="false" ht="15" hidden="false" customHeight="true" outlineLevel="0" collapsed="false">
      <c r="A19" s="12" t="s">
        <v>269</v>
      </c>
      <c r="B19" s="13" t="s">
        <v>268</v>
      </c>
      <c r="C19" s="13" t="s">
        <v>270</v>
      </c>
      <c r="D19" s="13"/>
      <c r="E19" s="13"/>
      <c r="F19" s="13"/>
      <c r="G19" s="13"/>
      <c r="H19" s="13"/>
      <c r="I19" s="13"/>
      <c r="J19" s="13" t="s">
        <v>237</v>
      </c>
      <c r="K19" s="13"/>
      <c r="L19" s="13" t="s">
        <v>56</v>
      </c>
      <c r="M19" s="13"/>
    </row>
    <row r="20" customFormat="false" ht="15" hidden="false" customHeight="true" outlineLevel="0" collapsed="false">
      <c r="A20" s="6" t="s">
        <v>271</v>
      </c>
      <c r="B20" s="11" t="s">
        <v>272</v>
      </c>
      <c r="C20" s="11" t="s">
        <v>273</v>
      </c>
      <c r="D20" s="11"/>
      <c r="E20" s="11"/>
      <c r="F20" s="11"/>
      <c r="G20" s="11"/>
      <c r="H20" s="11"/>
      <c r="I20" s="11"/>
      <c r="J20" s="11" t="s">
        <v>237</v>
      </c>
      <c r="K20" s="11"/>
      <c r="L20" s="11" t="s">
        <v>56</v>
      </c>
      <c r="M20" s="11"/>
    </row>
    <row r="21" customFormat="false" ht="15" hidden="false" customHeight="true" outlineLevel="0" collapsed="false">
      <c r="A21" s="12" t="s">
        <v>274</v>
      </c>
      <c r="B21" s="13" t="s">
        <v>272</v>
      </c>
      <c r="C21" s="13" t="s">
        <v>275</v>
      </c>
      <c r="D21" s="13"/>
      <c r="E21" s="13"/>
      <c r="F21" s="13"/>
      <c r="G21" s="13"/>
      <c r="H21" s="13"/>
      <c r="I21" s="13"/>
      <c r="J21" s="13" t="s">
        <v>237</v>
      </c>
      <c r="K21" s="13"/>
      <c r="L21" s="13" t="s">
        <v>56</v>
      </c>
      <c r="M21" s="13"/>
    </row>
    <row r="22" customFormat="false" ht="15" hidden="false" customHeight="true" outlineLevel="0" collapsed="false">
      <c r="A22" s="6" t="s">
        <v>276</v>
      </c>
      <c r="B22" s="11" t="s">
        <v>277</v>
      </c>
      <c r="C22" s="11" t="s">
        <v>278</v>
      </c>
      <c r="D22" s="11"/>
      <c r="E22" s="11"/>
      <c r="F22" s="11"/>
      <c r="G22" s="11"/>
      <c r="H22" s="11"/>
      <c r="I22" s="11"/>
      <c r="J22" s="11" t="s">
        <v>279</v>
      </c>
      <c r="K22" s="11"/>
      <c r="L22" s="11" t="s">
        <v>56</v>
      </c>
      <c r="M22" s="11"/>
    </row>
    <row r="23" customFormat="false" ht="15" hidden="false" customHeight="true" outlineLevel="0" collapsed="false">
      <c r="A23" s="12" t="s">
        <v>280</v>
      </c>
      <c r="B23" s="13" t="s">
        <v>277</v>
      </c>
      <c r="C23" s="13" t="s">
        <v>281</v>
      </c>
      <c r="D23" s="13"/>
      <c r="E23" s="13"/>
      <c r="F23" s="13"/>
      <c r="G23" s="13"/>
      <c r="H23" s="13"/>
      <c r="I23" s="13"/>
      <c r="J23" s="13" t="s">
        <v>279</v>
      </c>
      <c r="K23" s="13"/>
      <c r="L23" s="13" t="s">
        <v>56</v>
      </c>
      <c r="M23" s="13"/>
    </row>
    <row r="24" customFormat="false" ht="15.75" hidden="false" customHeight="true" outlineLevel="0" collapsed="false">
      <c r="A24" s="14" t="s">
        <v>185</v>
      </c>
      <c r="B24" s="14"/>
      <c r="C24" s="15"/>
      <c r="D24" s="15"/>
      <c r="E24" s="15"/>
      <c r="F24" s="15" t="n">
        <f aca="false">SUM(F4:F23)</f>
        <v>0</v>
      </c>
      <c r="G24" s="15" t="n">
        <f aca="false">SUM(G4:G23)</f>
        <v>0</v>
      </c>
      <c r="H24" s="15" t="n">
        <f aca="false">SUM(H4:H23)</f>
        <v>0</v>
      </c>
      <c r="I24" s="15"/>
      <c r="J24" s="15"/>
      <c r="K24" s="15"/>
      <c r="L24" s="15"/>
      <c r="M24" s="15"/>
    </row>
    <row r="26" customFormat="false" ht="4.5" hidden="false" customHeight="true" outlineLevel="0" collapsed="false"/>
    <row r="27" customFormat="false" ht="13.5" hidden="false" customHeight="true" outlineLevel="0" collapsed="false">
      <c r="A27" s="9" t="s">
        <v>37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</sheetData>
  <mergeCells count="5">
    <mergeCell ref="A1:F1"/>
    <mergeCell ref="G1:M1"/>
    <mergeCell ref="A2:M2"/>
    <mergeCell ref="A24:B24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2" min="8" style="0" width="10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4" t="s">
        <v>282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7.75" hidden="false" customHeight="true" outlineLevel="0" collapsed="false">
      <c r="A3" s="10" t="s">
        <v>283</v>
      </c>
      <c r="B3" s="10" t="s">
        <v>284</v>
      </c>
      <c r="C3" s="10" t="s">
        <v>285</v>
      </c>
      <c r="D3" s="10" t="s">
        <v>42</v>
      </c>
      <c r="E3" s="10" t="s">
        <v>43</v>
      </c>
      <c r="F3" s="10" t="s">
        <v>286</v>
      </c>
      <c r="G3" s="10" t="s">
        <v>287</v>
      </c>
      <c r="H3" s="10" t="s">
        <v>288</v>
      </c>
      <c r="I3" s="10" t="s">
        <v>289</v>
      </c>
      <c r="J3" s="10" t="s">
        <v>290</v>
      </c>
      <c r="K3" s="10" t="s">
        <v>291</v>
      </c>
      <c r="L3" s="10" t="s">
        <v>51</v>
      </c>
      <c r="M3" s="10" t="s">
        <v>52</v>
      </c>
    </row>
    <row r="4" customFormat="false" ht="15" hidden="false" customHeight="true" outlineLevel="0" collapsed="false">
      <c r="A4" s="6" t="s">
        <v>292</v>
      </c>
      <c r="B4" s="11" t="s">
        <v>293</v>
      </c>
      <c r="C4" s="11" t="s">
        <v>234</v>
      </c>
      <c r="D4" s="11"/>
      <c r="E4" s="11"/>
      <c r="F4" s="11" t="s">
        <v>294</v>
      </c>
      <c r="G4" s="11" t="s">
        <v>295</v>
      </c>
      <c r="H4" s="11" t="s">
        <v>296</v>
      </c>
      <c r="I4" s="11"/>
      <c r="J4" s="11"/>
      <c r="K4" s="11" t="s">
        <v>297</v>
      </c>
      <c r="L4" s="11" t="s">
        <v>56</v>
      </c>
      <c r="M4" s="11"/>
    </row>
    <row r="5" customFormat="false" ht="15" hidden="false" customHeight="true" outlineLevel="0" collapsed="false">
      <c r="A5" s="12" t="s">
        <v>298</v>
      </c>
      <c r="B5" s="13" t="s">
        <v>293</v>
      </c>
      <c r="C5" s="13" t="s">
        <v>238</v>
      </c>
      <c r="D5" s="13"/>
      <c r="E5" s="13"/>
      <c r="F5" s="13" t="s">
        <v>294</v>
      </c>
      <c r="G5" s="13" t="s">
        <v>295</v>
      </c>
      <c r="H5" s="13" t="s">
        <v>296</v>
      </c>
      <c r="I5" s="13"/>
      <c r="J5" s="13"/>
      <c r="K5" s="13" t="s">
        <v>297</v>
      </c>
      <c r="L5" s="13" t="s">
        <v>56</v>
      </c>
      <c r="M5" s="13"/>
    </row>
    <row r="6" customFormat="false" ht="15" hidden="false" customHeight="true" outlineLevel="0" collapsed="false">
      <c r="A6" s="6" t="s">
        <v>299</v>
      </c>
      <c r="B6" s="11" t="s">
        <v>300</v>
      </c>
      <c r="C6" s="11" t="s">
        <v>53</v>
      </c>
      <c r="D6" s="11"/>
      <c r="E6" s="11"/>
      <c r="F6" s="11" t="s">
        <v>294</v>
      </c>
      <c r="G6" s="11" t="s">
        <v>295</v>
      </c>
      <c r="H6" s="11" t="s">
        <v>301</v>
      </c>
      <c r="I6" s="11"/>
      <c r="J6" s="11"/>
      <c r="K6" s="11" t="s">
        <v>302</v>
      </c>
      <c r="L6" s="11" t="s">
        <v>56</v>
      </c>
      <c r="M6" s="11"/>
    </row>
    <row r="7" customFormat="false" ht="15" hidden="false" customHeight="true" outlineLevel="0" collapsed="false">
      <c r="A7" s="12" t="s">
        <v>303</v>
      </c>
      <c r="B7" s="13" t="s">
        <v>304</v>
      </c>
      <c r="C7" s="13" t="s">
        <v>305</v>
      </c>
      <c r="D7" s="13"/>
      <c r="E7" s="13"/>
      <c r="F7" s="13" t="s">
        <v>294</v>
      </c>
      <c r="G7" s="13" t="s">
        <v>295</v>
      </c>
      <c r="H7" s="13" t="s">
        <v>306</v>
      </c>
      <c r="I7" s="13"/>
      <c r="J7" s="13"/>
      <c r="K7" s="13" t="s">
        <v>307</v>
      </c>
      <c r="L7" s="13" t="s">
        <v>56</v>
      </c>
      <c r="M7" s="13"/>
    </row>
    <row r="8" customFormat="false" ht="15" hidden="false" customHeight="true" outlineLevel="0" collapsed="false">
      <c r="A8" s="6" t="s">
        <v>308</v>
      </c>
      <c r="B8" s="11" t="s">
        <v>304</v>
      </c>
      <c r="C8" s="11" t="s">
        <v>309</v>
      </c>
      <c r="D8" s="11"/>
      <c r="E8" s="11"/>
      <c r="F8" s="11" t="s">
        <v>294</v>
      </c>
      <c r="G8" s="11" t="s">
        <v>295</v>
      </c>
      <c r="H8" s="11" t="s">
        <v>306</v>
      </c>
      <c r="I8" s="11"/>
      <c r="J8" s="11"/>
      <c r="K8" s="11" t="s">
        <v>307</v>
      </c>
      <c r="L8" s="11" t="s">
        <v>56</v>
      </c>
      <c r="M8" s="11"/>
    </row>
    <row r="9" customFormat="false" ht="15" hidden="false" customHeight="true" outlineLevel="0" collapsed="false">
      <c r="A9" s="12" t="s">
        <v>310</v>
      </c>
      <c r="B9" s="13" t="s">
        <v>311</v>
      </c>
      <c r="C9" s="13" t="s">
        <v>312</v>
      </c>
      <c r="D9" s="13"/>
      <c r="E9" s="13"/>
      <c r="F9" s="13" t="s">
        <v>294</v>
      </c>
      <c r="G9" s="13" t="s">
        <v>295</v>
      </c>
      <c r="H9" s="13" t="s">
        <v>313</v>
      </c>
      <c r="I9" s="13"/>
      <c r="J9" s="13"/>
      <c r="K9" s="13" t="s">
        <v>314</v>
      </c>
      <c r="L9" s="13" t="s">
        <v>56</v>
      </c>
      <c r="M9" s="13"/>
    </row>
    <row r="10" customFormat="false" ht="15" hidden="false" customHeight="true" outlineLevel="0" collapsed="false">
      <c r="A10" s="6" t="s">
        <v>315</v>
      </c>
      <c r="B10" s="11" t="s">
        <v>316</v>
      </c>
      <c r="C10" s="11" t="s">
        <v>242</v>
      </c>
      <c r="D10" s="11"/>
      <c r="E10" s="11"/>
      <c r="F10" s="11" t="s">
        <v>294</v>
      </c>
      <c r="G10" s="11" t="s">
        <v>295</v>
      </c>
      <c r="H10" s="11" t="s">
        <v>317</v>
      </c>
      <c r="I10" s="11"/>
      <c r="J10" s="11"/>
      <c r="K10" s="11" t="s">
        <v>318</v>
      </c>
      <c r="L10" s="11" t="s">
        <v>56</v>
      </c>
      <c r="M10" s="11"/>
    </row>
    <row r="11" customFormat="false" ht="15" hidden="false" customHeight="true" outlineLevel="0" collapsed="false">
      <c r="A11" s="12" t="s">
        <v>319</v>
      </c>
      <c r="B11" s="13" t="s">
        <v>316</v>
      </c>
      <c r="C11" s="13" t="s">
        <v>320</v>
      </c>
      <c r="D11" s="13"/>
      <c r="E11" s="13"/>
      <c r="F11" s="13" t="s">
        <v>294</v>
      </c>
      <c r="G11" s="13" t="s">
        <v>295</v>
      </c>
      <c r="H11" s="13" t="s">
        <v>317</v>
      </c>
      <c r="I11" s="13"/>
      <c r="J11" s="13"/>
      <c r="K11" s="13" t="s">
        <v>318</v>
      </c>
      <c r="L11" s="13" t="s">
        <v>56</v>
      </c>
      <c r="M11" s="13"/>
    </row>
    <row r="12" customFormat="false" ht="15" hidden="false" customHeight="true" outlineLevel="0" collapsed="false">
      <c r="A12" s="6" t="s">
        <v>321</v>
      </c>
      <c r="B12" s="11" t="s">
        <v>322</v>
      </c>
      <c r="C12" s="11" t="s">
        <v>323</v>
      </c>
      <c r="D12" s="11"/>
      <c r="E12" s="11"/>
      <c r="F12" s="11" t="s">
        <v>294</v>
      </c>
      <c r="G12" s="11" t="s">
        <v>295</v>
      </c>
      <c r="H12" s="11" t="s">
        <v>324</v>
      </c>
      <c r="I12" s="11"/>
      <c r="J12" s="11"/>
      <c r="K12" s="11" t="s">
        <v>325</v>
      </c>
      <c r="L12" s="11" t="s">
        <v>56</v>
      </c>
      <c r="M12" s="11"/>
    </row>
    <row r="13" customFormat="false" ht="15" hidden="false" customHeight="true" outlineLevel="0" collapsed="false">
      <c r="A13" s="12" t="s">
        <v>326</v>
      </c>
      <c r="B13" s="13" t="s">
        <v>327</v>
      </c>
      <c r="C13" s="13" t="s">
        <v>328</v>
      </c>
      <c r="D13" s="13"/>
      <c r="E13" s="13"/>
      <c r="F13" s="13" t="s">
        <v>294</v>
      </c>
      <c r="G13" s="13" t="s">
        <v>295</v>
      </c>
      <c r="H13" s="13" t="s">
        <v>329</v>
      </c>
      <c r="I13" s="13"/>
      <c r="J13" s="13"/>
      <c r="K13" s="13" t="s">
        <v>330</v>
      </c>
      <c r="L13" s="13" t="s">
        <v>56</v>
      </c>
      <c r="M13" s="13"/>
    </row>
    <row r="14" customFormat="false" ht="15" hidden="false" customHeight="true" outlineLevel="0" collapsed="false">
      <c r="A14" s="6" t="s">
        <v>331</v>
      </c>
      <c r="B14" s="11" t="s">
        <v>332</v>
      </c>
      <c r="C14" s="11" t="s">
        <v>333</v>
      </c>
      <c r="D14" s="11"/>
      <c r="E14" s="11"/>
      <c r="F14" s="11" t="s">
        <v>294</v>
      </c>
      <c r="G14" s="11" t="s">
        <v>295</v>
      </c>
      <c r="H14" s="11" t="s">
        <v>334</v>
      </c>
      <c r="I14" s="11"/>
      <c r="J14" s="11"/>
      <c r="K14" s="11" t="s">
        <v>330</v>
      </c>
      <c r="L14" s="11" t="s">
        <v>56</v>
      </c>
      <c r="M14" s="11"/>
    </row>
    <row r="15" customFormat="false" ht="15" hidden="false" customHeight="true" outlineLevel="0" collapsed="false">
      <c r="A15" s="12" t="s">
        <v>335</v>
      </c>
      <c r="B15" s="13" t="s">
        <v>336</v>
      </c>
      <c r="C15" s="13" t="s">
        <v>337</v>
      </c>
      <c r="D15" s="13"/>
      <c r="E15" s="13"/>
      <c r="F15" s="13" t="s">
        <v>294</v>
      </c>
      <c r="G15" s="13" t="s">
        <v>295</v>
      </c>
      <c r="H15" s="13" t="s">
        <v>338</v>
      </c>
      <c r="I15" s="13"/>
      <c r="J15" s="13"/>
      <c r="K15" s="13" t="s">
        <v>330</v>
      </c>
      <c r="L15" s="13" t="s">
        <v>56</v>
      </c>
      <c r="M15" s="13"/>
    </row>
    <row r="16" customFormat="false" ht="15" hidden="false" customHeight="true" outlineLevel="0" collapsed="false">
      <c r="A16" s="6" t="s">
        <v>339</v>
      </c>
      <c r="B16" s="11" t="s">
        <v>340</v>
      </c>
      <c r="C16" s="11" t="s">
        <v>341</v>
      </c>
      <c r="D16" s="11"/>
      <c r="E16" s="11"/>
      <c r="F16" s="11" t="s">
        <v>294</v>
      </c>
      <c r="G16" s="11" t="s">
        <v>342</v>
      </c>
      <c r="H16" s="11" t="s">
        <v>343</v>
      </c>
      <c r="I16" s="11"/>
      <c r="J16" s="11"/>
      <c r="K16" s="11" t="s">
        <v>344</v>
      </c>
      <c r="L16" s="11" t="s">
        <v>56</v>
      </c>
      <c r="M16" s="11"/>
    </row>
    <row r="17" customFormat="false" ht="15" hidden="false" customHeight="true" outlineLevel="0" collapsed="false">
      <c r="A17" s="12" t="s">
        <v>345</v>
      </c>
      <c r="B17" s="13" t="s">
        <v>340</v>
      </c>
      <c r="C17" s="13" t="s">
        <v>346</v>
      </c>
      <c r="D17" s="13"/>
      <c r="E17" s="13"/>
      <c r="F17" s="13" t="s">
        <v>294</v>
      </c>
      <c r="G17" s="13" t="s">
        <v>342</v>
      </c>
      <c r="H17" s="13" t="s">
        <v>343</v>
      </c>
      <c r="I17" s="13"/>
      <c r="J17" s="13"/>
      <c r="K17" s="13" t="s">
        <v>344</v>
      </c>
      <c r="L17" s="13" t="s">
        <v>56</v>
      </c>
      <c r="M17" s="13"/>
    </row>
    <row r="18" customFormat="false" ht="15" hidden="false" customHeight="true" outlineLevel="0" collapsed="false">
      <c r="A18" s="6" t="s">
        <v>347</v>
      </c>
      <c r="B18" s="11" t="s">
        <v>348</v>
      </c>
      <c r="C18" s="11" t="s">
        <v>349</v>
      </c>
      <c r="D18" s="11"/>
      <c r="E18" s="11"/>
      <c r="F18" s="11" t="s">
        <v>294</v>
      </c>
      <c r="G18" s="11" t="s">
        <v>342</v>
      </c>
      <c r="H18" s="11" t="s">
        <v>350</v>
      </c>
      <c r="I18" s="11"/>
      <c r="J18" s="11"/>
      <c r="K18" s="11" t="s">
        <v>351</v>
      </c>
      <c r="L18" s="11" t="s">
        <v>56</v>
      </c>
      <c r="M18" s="11"/>
    </row>
    <row r="19" customFormat="false" ht="15" hidden="false" customHeight="true" outlineLevel="0" collapsed="false">
      <c r="A19" s="12" t="s">
        <v>352</v>
      </c>
      <c r="B19" s="13" t="s">
        <v>353</v>
      </c>
      <c r="C19" s="13" t="s">
        <v>354</v>
      </c>
      <c r="D19" s="13"/>
      <c r="E19" s="13"/>
      <c r="F19" s="13" t="s">
        <v>294</v>
      </c>
      <c r="G19" s="13" t="s">
        <v>342</v>
      </c>
      <c r="H19" s="13" t="s">
        <v>350</v>
      </c>
      <c r="I19" s="13"/>
      <c r="J19" s="13"/>
      <c r="K19" s="13" t="s">
        <v>351</v>
      </c>
      <c r="L19" s="13" t="s">
        <v>56</v>
      </c>
      <c r="M19" s="13"/>
    </row>
    <row r="20" customFormat="false" ht="15" hidden="false" customHeight="true" outlineLevel="0" collapsed="false">
      <c r="A20" s="6" t="s">
        <v>355</v>
      </c>
      <c r="B20" s="11" t="s">
        <v>356</v>
      </c>
      <c r="C20" s="11" t="s">
        <v>357</v>
      </c>
      <c r="D20" s="11"/>
      <c r="E20" s="11"/>
      <c r="F20" s="11" t="s">
        <v>294</v>
      </c>
      <c r="G20" s="11" t="s">
        <v>295</v>
      </c>
      <c r="H20" s="11" t="s">
        <v>358</v>
      </c>
      <c r="I20" s="11"/>
      <c r="J20" s="11"/>
      <c r="K20" s="11" t="s">
        <v>359</v>
      </c>
      <c r="L20" s="11" t="s">
        <v>56</v>
      </c>
      <c r="M20" s="11"/>
    </row>
    <row r="21" customFormat="false" ht="15" hidden="false" customHeight="true" outlineLevel="0" collapsed="false">
      <c r="A21" s="12" t="s">
        <v>360</v>
      </c>
      <c r="B21" s="13" t="s">
        <v>361</v>
      </c>
      <c r="C21" s="13" t="s">
        <v>115</v>
      </c>
      <c r="D21" s="13"/>
      <c r="E21" s="13"/>
      <c r="F21" s="13" t="s">
        <v>294</v>
      </c>
      <c r="G21" s="13" t="s">
        <v>295</v>
      </c>
      <c r="H21" s="13" t="s">
        <v>362</v>
      </c>
      <c r="I21" s="13"/>
      <c r="J21" s="13"/>
      <c r="K21" s="13" t="s">
        <v>363</v>
      </c>
      <c r="L21" s="13" t="s">
        <v>56</v>
      </c>
      <c r="M21" s="13"/>
    </row>
    <row r="22" customFormat="false" ht="15" hidden="false" customHeight="true" outlineLevel="0" collapsed="false">
      <c r="A22" s="6" t="s">
        <v>364</v>
      </c>
      <c r="B22" s="11" t="s">
        <v>365</v>
      </c>
      <c r="C22" s="11" t="s">
        <v>366</v>
      </c>
      <c r="D22" s="11"/>
      <c r="E22" s="11"/>
      <c r="F22" s="11" t="s">
        <v>294</v>
      </c>
      <c r="G22" s="11" t="s">
        <v>367</v>
      </c>
      <c r="H22" s="11" t="s">
        <v>368</v>
      </c>
      <c r="I22" s="11"/>
      <c r="J22" s="11"/>
      <c r="K22" s="11" t="s">
        <v>369</v>
      </c>
      <c r="L22" s="11" t="s">
        <v>56</v>
      </c>
      <c r="M22" s="11"/>
    </row>
    <row r="23" customFormat="false" ht="15" hidden="false" customHeight="true" outlineLevel="0" collapsed="false">
      <c r="A23" s="12" t="s">
        <v>370</v>
      </c>
      <c r="B23" s="13" t="s">
        <v>365</v>
      </c>
      <c r="C23" s="13" t="s">
        <v>371</v>
      </c>
      <c r="D23" s="13"/>
      <c r="E23" s="13"/>
      <c r="F23" s="13" t="s">
        <v>294</v>
      </c>
      <c r="G23" s="13" t="s">
        <v>367</v>
      </c>
      <c r="H23" s="13" t="s">
        <v>368</v>
      </c>
      <c r="I23" s="13"/>
      <c r="J23" s="13"/>
      <c r="K23" s="13" t="s">
        <v>369</v>
      </c>
      <c r="L23" s="13" t="s">
        <v>56</v>
      </c>
      <c r="M23" s="13"/>
    </row>
    <row r="24" customFormat="false" ht="15.75" hidden="false" customHeight="true" outlineLevel="0" collapsed="false">
      <c r="A24" s="14" t="s">
        <v>372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6" customFormat="false" ht="4.5" hidden="false" customHeight="true" outlineLevel="0" collapsed="false"/>
    <row r="27" customFormat="false" ht="13.5" hidden="false" customHeight="true" outlineLevel="0" collapsed="false">
      <c r="A27" s="9" t="s">
        <v>37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</sheetData>
  <mergeCells count="5">
    <mergeCell ref="A1:F1"/>
    <mergeCell ref="G1:M1"/>
    <mergeCell ref="A2:M2"/>
    <mergeCell ref="A24:B24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11" min="9" style="0" width="12"/>
    <col collapsed="false" customWidth="true" hidden="false" outlineLevel="0" max="13" min="12" style="0" width="10"/>
    <col collapsed="false" customWidth="true" hidden="false" outlineLevel="0" max="14" min="14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4" t="s">
        <v>373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27.75" hidden="false" customHeight="true" outlineLevel="0" collapsed="false">
      <c r="A3" s="10" t="s">
        <v>39</v>
      </c>
      <c r="B3" s="10" t="s">
        <v>40</v>
      </c>
      <c r="C3" s="10" t="s">
        <v>100</v>
      </c>
      <c r="D3" s="10" t="s">
        <v>374</v>
      </c>
      <c r="E3" s="10" t="s">
        <v>375</v>
      </c>
      <c r="F3" s="10" t="s">
        <v>376</v>
      </c>
      <c r="G3" s="10" t="s">
        <v>377</v>
      </c>
      <c r="H3" s="10" t="s">
        <v>378</v>
      </c>
      <c r="I3" s="10" t="s">
        <v>379</v>
      </c>
      <c r="J3" s="10" t="s">
        <v>380</v>
      </c>
      <c r="K3" s="10" t="s">
        <v>381</v>
      </c>
      <c r="L3" s="10" t="s">
        <v>382</v>
      </c>
      <c r="M3" s="10" t="s">
        <v>383</v>
      </c>
      <c r="N3" s="10" t="s">
        <v>52</v>
      </c>
    </row>
    <row r="4" customFormat="false" ht="15" hidden="false" customHeight="true" outlineLevel="0" collapsed="false">
      <c r="A4" s="6" t="s">
        <v>53</v>
      </c>
      <c r="B4" s="11" t="s">
        <v>54</v>
      </c>
      <c r="C4" s="11" t="s">
        <v>384</v>
      </c>
      <c r="D4" s="11"/>
      <c r="E4" s="11"/>
      <c r="F4" s="11"/>
      <c r="G4" s="11"/>
      <c r="H4" s="11"/>
      <c r="I4" s="11"/>
      <c r="J4" s="11"/>
      <c r="K4" s="11" t="s">
        <v>56</v>
      </c>
      <c r="L4" s="11" t="s">
        <v>385</v>
      </c>
      <c r="M4" s="11" t="s">
        <v>386</v>
      </c>
      <c r="N4" s="11"/>
    </row>
    <row r="5" customFormat="false" ht="15" hidden="false" customHeight="true" outlineLevel="0" collapsed="false">
      <c r="A5" s="12" t="s">
        <v>57</v>
      </c>
      <c r="B5" s="13" t="s">
        <v>54</v>
      </c>
      <c r="C5" s="13" t="s">
        <v>387</v>
      </c>
      <c r="D5" s="13"/>
      <c r="E5" s="13"/>
      <c r="F5" s="13"/>
      <c r="G5" s="13"/>
      <c r="H5" s="13"/>
      <c r="I5" s="13"/>
      <c r="J5" s="13"/>
      <c r="K5" s="13" t="s">
        <v>56</v>
      </c>
      <c r="L5" s="13" t="s">
        <v>385</v>
      </c>
      <c r="M5" s="13" t="s">
        <v>386</v>
      </c>
      <c r="N5" s="13"/>
    </row>
    <row r="6" customFormat="false" ht="15" hidden="false" customHeight="true" outlineLevel="0" collapsed="false">
      <c r="A6" s="6" t="s">
        <v>59</v>
      </c>
      <c r="B6" s="11" t="s">
        <v>60</v>
      </c>
      <c r="C6" s="11" t="s">
        <v>61</v>
      </c>
      <c r="D6" s="11"/>
      <c r="E6" s="11"/>
      <c r="F6" s="11"/>
      <c r="G6" s="11"/>
      <c r="H6" s="11"/>
      <c r="I6" s="11"/>
      <c r="J6" s="11"/>
      <c r="K6" s="11" t="s">
        <v>56</v>
      </c>
      <c r="L6" s="11" t="s">
        <v>385</v>
      </c>
      <c r="M6" s="11" t="s">
        <v>386</v>
      </c>
      <c r="N6" s="11"/>
    </row>
    <row r="7" customFormat="false" ht="15" hidden="false" customHeight="true" outlineLevel="0" collapsed="false">
      <c r="A7" s="12" t="s">
        <v>62</v>
      </c>
      <c r="B7" s="13" t="s">
        <v>60</v>
      </c>
      <c r="C7" s="13" t="s">
        <v>63</v>
      </c>
      <c r="D7" s="13"/>
      <c r="E7" s="13"/>
      <c r="F7" s="13"/>
      <c r="G7" s="13"/>
      <c r="H7" s="13"/>
      <c r="I7" s="13"/>
      <c r="J7" s="13"/>
      <c r="K7" s="13" t="s">
        <v>56</v>
      </c>
      <c r="L7" s="13" t="s">
        <v>388</v>
      </c>
      <c r="M7" s="13" t="s">
        <v>389</v>
      </c>
      <c r="N7" s="13"/>
    </row>
    <row r="8" customFormat="false" ht="15" hidden="false" customHeight="true" outlineLevel="0" collapsed="false">
      <c r="A8" s="6" t="s">
        <v>64</v>
      </c>
      <c r="B8" s="11" t="s">
        <v>60</v>
      </c>
      <c r="C8" s="11" t="s">
        <v>65</v>
      </c>
      <c r="D8" s="11"/>
      <c r="E8" s="11"/>
      <c r="F8" s="11"/>
      <c r="G8" s="11"/>
      <c r="H8" s="11"/>
      <c r="I8" s="11"/>
      <c r="J8" s="11"/>
      <c r="K8" s="11" t="s">
        <v>56</v>
      </c>
      <c r="L8" s="11" t="s">
        <v>385</v>
      </c>
      <c r="M8" s="11" t="s">
        <v>386</v>
      </c>
      <c r="N8" s="11"/>
    </row>
    <row r="9" customFormat="false" ht="15" hidden="false" customHeight="true" outlineLevel="0" collapsed="false">
      <c r="A9" s="12" t="s">
        <v>66</v>
      </c>
      <c r="B9" s="13" t="s">
        <v>60</v>
      </c>
      <c r="C9" s="13" t="s">
        <v>67</v>
      </c>
      <c r="D9" s="13"/>
      <c r="E9" s="13"/>
      <c r="F9" s="13"/>
      <c r="G9" s="13"/>
      <c r="H9" s="13"/>
      <c r="I9" s="13"/>
      <c r="J9" s="13"/>
      <c r="K9" s="13" t="s">
        <v>390</v>
      </c>
      <c r="L9" s="13" t="s">
        <v>391</v>
      </c>
      <c r="M9" s="13" t="s">
        <v>392</v>
      </c>
      <c r="N9" s="13" t="s">
        <v>393</v>
      </c>
    </row>
    <row r="10" customFormat="false" ht="15" hidden="false" customHeight="true" outlineLevel="0" collapsed="false">
      <c r="A10" s="6" t="s">
        <v>110</v>
      </c>
      <c r="B10" s="11" t="s">
        <v>111</v>
      </c>
      <c r="C10" s="11" t="s">
        <v>112</v>
      </c>
      <c r="D10" s="11"/>
      <c r="E10" s="11"/>
      <c r="F10" s="11"/>
      <c r="G10" s="11"/>
      <c r="H10" s="11"/>
      <c r="I10" s="11"/>
      <c r="J10" s="11"/>
      <c r="K10" s="11" t="s">
        <v>56</v>
      </c>
      <c r="L10" s="11" t="s">
        <v>385</v>
      </c>
      <c r="M10" s="11" t="s">
        <v>386</v>
      </c>
      <c r="N10" s="11"/>
    </row>
    <row r="11" customFormat="false" ht="15" hidden="false" customHeight="true" outlineLevel="0" collapsed="false">
      <c r="A11" s="12" t="s">
        <v>207</v>
      </c>
      <c r="B11" s="13" t="s">
        <v>208</v>
      </c>
      <c r="C11" s="13" t="s">
        <v>201</v>
      </c>
      <c r="D11" s="13"/>
      <c r="E11" s="13"/>
      <c r="F11" s="13"/>
      <c r="G11" s="13"/>
      <c r="H11" s="13"/>
      <c r="I11" s="13"/>
      <c r="J11" s="13"/>
      <c r="K11" s="13" t="s">
        <v>56</v>
      </c>
      <c r="L11" s="13" t="s">
        <v>385</v>
      </c>
      <c r="M11" s="13" t="s">
        <v>386</v>
      </c>
      <c r="N11" s="13"/>
    </row>
    <row r="12" customFormat="false" ht="15" hidden="false" customHeight="true" outlineLevel="0" collapsed="false">
      <c r="A12" s="6" t="s">
        <v>209</v>
      </c>
      <c r="B12" s="11" t="s">
        <v>208</v>
      </c>
      <c r="C12" s="11" t="s">
        <v>201</v>
      </c>
      <c r="D12" s="11"/>
      <c r="E12" s="11"/>
      <c r="F12" s="11"/>
      <c r="G12" s="11"/>
      <c r="H12" s="11"/>
      <c r="I12" s="11"/>
      <c r="J12" s="11"/>
      <c r="K12" s="11" t="s">
        <v>394</v>
      </c>
      <c r="L12" s="11" t="s">
        <v>385</v>
      </c>
      <c r="M12" s="11" t="s">
        <v>389</v>
      </c>
      <c r="N12" s="11"/>
    </row>
    <row r="13" customFormat="false" ht="15" hidden="false" customHeight="true" outlineLevel="0" collapsed="false">
      <c r="A13" s="12" t="s">
        <v>193</v>
      </c>
      <c r="B13" s="13" t="s">
        <v>395</v>
      </c>
      <c r="C13" s="13" t="s">
        <v>115</v>
      </c>
      <c r="D13" s="13"/>
      <c r="E13" s="13"/>
      <c r="F13" s="13"/>
      <c r="G13" s="13"/>
      <c r="H13" s="13"/>
      <c r="I13" s="13"/>
      <c r="J13" s="13"/>
      <c r="K13" s="13" t="s">
        <v>56</v>
      </c>
      <c r="L13" s="13" t="s">
        <v>385</v>
      </c>
      <c r="M13" s="13" t="s">
        <v>386</v>
      </c>
      <c r="N13" s="13"/>
    </row>
    <row r="14" customFormat="false" ht="15" hidden="false" customHeight="true" outlineLevel="0" collapsed="false">
      <c r="A14" s="6" t="s">
        <v>199</v>
      </c>
      <c r="B14" s="11" t="s">
        <v>396</v>
      </c>
      <c r="C14" s="11" t="s">
        <v>201</v>
      </c>
      <c r="D14" s="11"/>
      <c r="E14" s="11"/>
      <c r="F14" s="11"/>
      <c r="G14" s="11"/>
      <c r="H14" s="11"/>
      <c r="I14" s="11"/>
      <c r="J14" s="11"/>
      <c r="K14" s="11" t="s">
        <v>56</v>
      </c>
      <c r="L14" s="11" t="s">
        <v>385</v>
      </c>
      <c r="M14" s="11" t="s">
        <v>386</v>
      </c>
      <c r="N14" s="11"/>
    </row>
    <row r="15" customFormat="false" ht="15" hidden="false" customHeight="true" outlineLevel="0" collapsed="false">
      <c r="A15" s="12" t="s">
        <v>148</v>
      </c>
      <c r="B15" s="13" t="s">
        <v>397</v>
      </c>
      <c r="C15" s="13" t="s">
        <v>398</v>
      </c>
      <c r="D15" s="13"/>
      <c r="E15" s="13"/>
      <c r="F15" s="13"/>
      <c r="G15" s="13"/>
      <c r="H15" s="13"/>
      <c r="I15" s="13"/>
      <c r="J15" s="13"/>
      <c r="K15" s="13" t="s">
        <v>56</v>
      </c>
      <c r="L15" s="13" t="s">
        <v>385</v>
      </c>
      <c r="M15" s="13" t="s">
        <v>399</v>
      </c>
      <c r="N15" s="13"/>
    </row>
    <row r="16" customFormat="false" ht="15" hidden="false" customHeight="true" outlineLevel="0" collapsed="false">
      <c r="A16" s="6" t="s">
        <v>153</v>
      </c>
      <c r="B16" s="11" t="s">
        <v>154</v>
      </c>
      <c r="C16" s="11" t="s">
        <v>400</v>
      </c>
      <c r="D16" s="11"/>
      <c r="E16" s="11"/>
      <c r="F16" s="11"/>
      <c r="G16" s="11"/>
      <c r="H16" s="11"/>
      <c r="I16" s="11"/>
      <c r="J16" s="11"/>
      <c r="K16" s="11" t="s">
        <v>56</v>
      </c>
      <c r="L16" s="11" t="s">
        <v>388</v>
      </c>
      <c r="M16" s="11" t="s">
        <v>389</v>
      </c>
      <c r="N16" s="11"/>
    </row>
    <row r="17" customFormat="false" ht="15" hidden="false" customHeight="true" outlineLevel="0" collapsed="false">
      <c r="A17" s="12" t="s">
        <v>173</v>
      </c>
      <c r="B17" s="13" t="s">
        <v>174</v>
      </c>
      <c r="C17" s="13" t="s">
        <v>61</v>
      </c>
      <c r="D17" s="13"/>
      <c r="E17" s="13"/>
      <c r="F17" s="13"/>
      <c r="G17" s="13"/>
      <c r="H17" s="13"/>
      <c r="I17" s="13"/>
      <c r="J17" s="13"/>
      <c r="K17" s="13" t="s">
        <v>56</v>
      </c>
      <c r="L17" s="13" t="s">
        <v>385</v>
      </c>
      <c r="M17" s="13" t="s">
        <v>389</v>
      </c>
      <c r="N17" s="13"/>
    </row>
    <row r="18" customFormat="false" ht="15" hidden="false" customHeight="true" outlineLevel="0" collapsed="false">
      <c r="A18" s="6" t="s">
        <v>116</v>
      </c>
      <c r="B18" s="11" t="s">
        <v>117</v>
      </c>
      <c r="C18" s="11" t="s">
        <v>112</v>
      </c>
      <c r="D18" s="11"/>
      <c r="E18" s="11"/>
      <c r="F18" s="11"/>
      <c r="G18" s="11"/>
      <c r="H18" s="11"/>
      <c r="I18" s="11"/>
      <c r="J18" s="11"/>
      <c r="K18" s="11" t="s">
        <v>56</v>
      </c>
      <c r="L18" s="11" t="s">
        <v>385</v>
      </c>
      <c r="M18" s="11" t="s">
        <v>386</v>
      </c>
      <c r="N18" s="11"/>
    </row>
    <row r="19" customFormat="false" ht="15" hidden="false" customHeight="true" outlineLevel="0" collapsed="false">
      <c r="A19" s="12" t="s">
        <v>345</v>
      </c>
      <c r="B19" s="13" t="s">
        <v>401</v>
      </c>
      <c r="C19" s="13" t="s">
        <v>402</v>
      </c>
      <c r="D19" s="13"/>
      <c r="E19" s="13"/>
      <c r="F19" s="13"/>
      <c r="G19" s="13"/>
      <c r="H19" s="13"/>
      <c r="I19" s="13"/>
      <c r="J19" s="13"/>
      <c r="K19" s="13" t="s">
        <v>56</v>
      </c>
      <c r="L19" s="13" t="s">
        <v>385</v>
      </c>
      <c r="M19" s="13" t="s">
        <v>386</v>
      </c>
      <c r="N19" s="13"/>
    </row>
    <row r="20" customFormat="false" ht="15" hidden="false" customHeight="true" outlineLevel="0" collapsed="false">
      <c r="A20" s="6" t="s">
        <v>68</v>
      </c>
      <c r="B20" s="11" t="s">
        <v>69</v>
      </c>
      <c r="C20" s="11" t="s">
        <v>112</v>
      </c>
      <c r="D20" s="11"/>
      <c r="E20" s="11"/>
      <c r="F20" s="11"/>
      <c r="G20" s="11"/>
      <c r="H20" s="11"/>
      <c r="I20" s="11"/>
      <c r="J20" s="11"/>
      <c r="K20" s="11" t="s">
        <v>56</v>
      </c>
      <c r="L20" s="11" t="s">
        <v>385</v>
      </c>
      <c r="M20" s="11" t="s">
        <v>389</v>
      </c>
      <c r="N20" s="11"/>
    </row>
    <row r="21" customFormat="false" ht="15" hidden="false" customHeight="true" outlineLevel="0" collapsed="false">
      <c r="A21" s="12" t="s">
        <v>123</v>
      </c>
      <c r="B21" s="13" t="s">
        <v>124</v>
      </c>
      <c r="C21" s="13" t="s">
        <v>403</v>
      </c>
      <c r="D21" s="13"/>
      <c r="E21" s="13"/>
      <c r="F21" s="13"/>
      <c r="G21" s="13"/>
      <c r="H21" s="13"/>
      <c r="I21" s="13"/>
      <c r="J21" s="13"/>
      <c r="K21" s="13" t="s">
        <v>56</v>
      </c>
      <c r="L21" s="13" t="s">
        <v>385</v>
      </c>
      <c r="M21" s="13" t="s">
        <v>386</v>
      </c>
      <c r="N21" s="13"/>
    </row>
    <row r="23" customFormat="false" ht="19.5" hidden="false" customHeight="true" outlineLevel="0" collapsed="false">
      <c r="A23" s="4" t="s">
        <v>404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true" outlineLevel="0" collapsed="false">
      <c r="A24" s="5" t="s">
        <v>405</v>
      </c>
      <c r="B24" s="20" t="n">
        <f aca="false">COUNTA(A4:A21)</f>
        <v>18</v>
      </c>
      <c r="C24" s="20"/>
      <c r="D24" s="20"/>
      <c r="E24" s="20"/>
      <c r="F24" s="20"/>
    </row>
    <row r="25" customFormat="false" ht="15" hidden="false" customHeight="true" outlineLevel="0" collapsed="false">
      <c r="A25" s="5" t="s">
        <v>406</v>
      </c>
      <c r="B25" s="20" t="n">
        <f aca="false">COUNTIF(K4:K21,"Active")</f>
        <v>16</v>
      </c>
      <c r="C25" s="20"/>
      <c r="D25" s="20"/>
      <c r="E25" s="20"/>
      <c r="F25" s="20"/>
    </row>
    <row r="26" customFormat="false" ht="15" hidden="false" customHeight="true" outlineLevel="0" collapsed="false">
      <c r="A26" s="5" t="s">
        <v>407</v>
      </c>
      <c r="B26" s="20" t="n">
        <f aca="false">COUNTIF(K4:K21,"Standby")</f>
        <v>1</v>
      </c>
      <c r="C26" s="20"/>
      <c r="D26" s="20"/>
      <c r="E26" s="20"/>
      <c r="F26" s="20"/>
    </row>
    <row r="27" customFormat="false" ht="15" hidden="false" customHeight="true" outlineLevel="0" collapsed="false">
      <c r="A27" s="5" t="s">
        <v>408</v>
      </c>
      <c r="B27" s="20" t="n">
        <f aca="false">COUNTIF(K4:K21,"Down")</f>
        <v>1</v>
      </c>
      <c r="C27" s="20"/>
      <c r="D27" s="20"/>
      <c r="E27" s="20"/>
      <c r="F27" s="20"/>
    </row>
    <row r="28" customFormat="false" ht="15" hidden="false" customHeight="true" outlineLevel="0" collapsed="false">
      <c r="A28" s="5" t="s">
        <v>409</v>
      </c>
      <c r="B28" s="20" t="n">
        <f aca="false">COUNTIF(M4:M21,"Critical")</f>
        <v>1</v>
      </c>
      <c r="C28" s="20"/>
      <c r="D28" s="20"/>
      <c r="E28" s="20"/>
      <c r="F28" s="20"/>
    </row>
    <row r="29" customFormat="false" ht="15" hidden="false" customHeight="true" outlineLevel="0" collapsed="false">
      <c r="A29" s="5" t="s">
        <v>410</v>
      </c>
      <c r="B29" s="20"/>
      <c r="C29" s="20"/>
      <c r="D29" s="20"/>
      <c r="E29" s="20"/>
      <c r="F29" s="20"/>
    </row>
    <row r="31" customFormat="false" ht="4.5" hidden="false" customHeight="true" outlineLevel="0" collapsed="false"/>
    <row r="32" customFormat="false" ht="13.5" hidden="false" customHeight="true" outlineLevel="0" collapsed="false">
      <c r="A32" s="9" t="s">
        <v>37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</sheetData>
  <mergeCells count="11">
    <mergeCell ref="A1:G1"/>
    <mergeCell ref="H1:N1"/>
    <mergeCell ref="A2:N2"/>
    <mergeCell ref="A23:N23"/>
    <mergeCell ref="B24:F24"/>
    <mergeCell ref="B25:F25"/>
    <mergeCell ref="B26:F26"/>
    <mergeCell ref="B27:F27"/>
    <mergeCell ref="B28:F28"/>
    <mergeCell ref="B29:F29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4" min="10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7.5" hidden="false" customHeight="true" outlineLevel="0" collapsed="false"/>
    <row r="3" customFormat="false" ht="27.75" hidden="false" customHeight="true" outlineLevel="0" collapsed="false">
      <c r="A3" s="21" t="s">
        <v>411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customFormat="false" ht="19.5" hidden="false" customHeight="true" outlineLevel="0" collapsed="false">
      <c r="A5" s="4" t="s">
        <v>412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7.75" hidden="false" customHeight="true" outlineLevel="0" collapsed="false">
      <c r="A6" s="10" t="s">
        <v>413</v>
      </c>
      <c r="B6" s="10" t="s">
        <v>414</v>
      </c>
      <c r="C6" s="10" t="s">
        <v>56</v>
      </c>
      <c r="D6" s="10" t="s">
        <v>394</v>
      </c>
      <c r="E6" s="10" t="s">
        <v>390</v>
      </c>
      <c r="F6" s="10" t="s">
        <v>415</v>
      </c>
      <c r="G6" s="10" t="s">
        <v>52</v>
      </c>
    </row>
    <row r="7" customFormat="false" ht="15" hidden="false" customHeight="true" outlineLevel="0" collapsed="false">
      <c r="A7" s="6" t="s">
        <v>416</v>
      </c>
      <c r="B7" s="11" t="n">
        <f aca="false">COUNTA('AHU-RTU Units'!A4:A18)</f>
        <v>15</v>
      </c>
      <c r="C7" s="11"/>
      <c r="D7" s="11"/>
      <c r="E7" s="11"/>
      <c r="F7" s="11"/>
      <c r="G7" s="11"/>
    </row>
    <row r="8" customFormat="false" ht="15" hidden="false" customHeight="true" outlineLevel="0" collapsed="false">
      <c r="A8" s="12" t="s">
        <v>417</v>
      </c>
      <c r="B8" s="13"/>
      <c r="C8" s="13"/>
      <c r="D8" s="13"/>
      <c r="E8" s="13"/>
      <c r="F8" s="13"/>
      <c r="G8" s="13"/>
    </row>
    <row r="9" customFormat="false" ht="15" hidden="false" customHeight="true" outlineLevel="0" collapsed="false">
      <c r="A9" s="6" t="s">
        <v>418</v>
      </c>
      <c r="B9" s="11"/>
      <c r="C9" s="11"/>
      <c r="D9" s="11"/>
      <c r="E9" s="11"/>
      <c r="F9" s="11"/>
      <c r="G9" s="11"/>
    </row>
    <row r="10" customFormat="false" ht="15" hidden="false" customHeight="true" outlineLevel="0" collapsed="false">
      <c r="A10" s="12" t="s">
        <v>419</v>
      </c>
      <c r="B10" s="13" t="n">
        <f aca="false">COUNTA('Condensers &amp; Chillers'!A4:A15)</f>
        <v>12</v>
      </c>
      <c r="C10" s="13"/>
      <c r="D10" s="13"/>
      <c r="E10" s="13"/>
      <c r="F10" s="13"/>
      <c r="G10" s="13"/>
    </row>
    <row r="11" customFormat="false" ht="15" hidden="false" customHeight="true" outlineLevel="0" collapsed="false">
      <c r="A11" s="6" t="s">
        <v>420</v>
      </c>
      <c r="B11" s="11"/>
      <c r="C11" s="11"/>
      <c r="D11" s="11"/>
      <c r="E11" s="11"/>
      <c r="F11" s="11"/>
      <c r="G11" s="11"/>
    </row>
    <row r="12" customFormat="false" ht="15" hidden="false" customHeight="true" outlineLevel="0" collapsed="false">
      <c r="A12" s="12" t="s">
        <v>421</v>
      </c>
      <c r="B12" s="13"/>
      <c r="C12" s="13"/>
      <c r="D12" s="13"/>
      <c r="E12" s="13"/>
      <c r="F12" s="13"/>
      <c r="G12" s="13"/>
    </row>
    <row r="13" customFormat="false" ht="15" hidden="false" customHeight="true" outlineLevel="0" collapsed="false">
      <c r="A13" s="6" t="s">
        <v>422</v>
      </c>
      <c r="B13" s="11" t="n">
        <f aca="false">COUNTA('Exhaust &amp; Vent Fans'!A4:A18)</f>
        <v>15</v>
      </c>
      <c r="C13" s="11"/>
      <c r="D13" s="11"/>
      <c r="E13" s="11"/>
      <c r="F13" s="11"/>
      <c r="G13" s="11"/>
    </row>
    <row r="14" customFormat="false" ht="15" hidden="false" customHeight="true" outlineLevel="0" collapsed="false">
      <c r="A14" s="12" t="s">
        <v>423</v>
      </c>
      <c r="B14" s="13" t="n">
        <f aca="false">COUNTA('Pumps &amp; Hydronic Equip'!A4:A18)</f>
        <v>15</v>
      </c>
      <c r="C14" s="13"/>
      <c r="D14" s="13"/>
      <c r="E14" s="13"/>
      <c r="F14" s="13"/>
      <c r="G14" s="13"/>
    </row>
    <row r="15" customFormat="false" ht="15" hidden="false" customHeight="true" outlineLevel="0" collapsed="false">
      <c r="A15" s="6" t="s">
        <v>424</v>
      </c>
      <c r="B15" s="11"/>
      <c r="C15" s="11"/>
      <c r="D15" s="11"/>
      <c r="E15" s="11"/>
      <c r="F15" s="11"/>
      <c r="G15" s="11"/>
    </row>
    <row r="16" customFormat="false" ht="15" hidden="false" customHeight="true" outlineLevel="0" collapsed="false">
      <c r="A16" s="12" t="s">
        <v>425</v>
      </c>
      <c r="B16" s="13" t="n">
        <f aca="false">COUNTA('Terminal Units &amp; Zones'!A4:A23)</f>
        <v>20</v>
      </c>
      <c r="C16" s="13"/>
      <c r="D16" s="13"/>
      <c r="E16" s="13"/>
      <c r="F16" s="13"/>
      <c r="G16" s="13"/>
    </row>
    <row r="17" customFormat="false" ht="15" hidden="false" customHeight="true" outlineLevel="0" collapsed="false">
      <c r="A17" s="6" t="s">
        <v>426</v>
      </c>
      <c r="B17" s="11" t="n">
        <f aca="false">COUNTA('Controls &amp; Instrumentation'!A4:A23)</f>
        <v>20</v>
      </c>
      <c r="C17" s="11"/>
      <c r="D17" s="11"/>
      <c r="E17" s="11"/>
      <c r="F17" s="11"/>
      <c r="G17" s="11"/>
    </row>
    <row r="18" customFormat="false" ht="15" hidden="false" customHeight="true" outlineLevel="0" collapsed="false">
      <c r="A18" s="12" t="s">
        <v>427</v>
      </c>
      <c r="B18" s="13"/>
      <c r="C18" s="13"/>
      <c r="D18" s="13"/>
      <c r="E18" s="13"/>
      <c r="F18" s="13"/>
      <c r="G18" s="13"/>
    </row>
    <row r="19" customFormat="false" ht="15" hidden="false" customHeight="true" outlineLevel="0" collapsed="false">
      <c r="A19" s="6" t="s">
        <v>428</v>
      </c>
      <c r="B19" s="11"/>
      <c r="C19" s="11"/>
      <c r="D19" s="11"/>
      <c r="E19" s="11"/>
      <c r="F19" s="11"/>
      <c r="G19" s="11"/>
    </row>
    <row r="20" customFormat="false" ht="15.75" hidden="false" customHeight="true" outlineLevel="0" collapsed="false">
      <c r="A20" s="15" t="s">
        <v>429</v>
      </c>
      <c r="B20" s="15" t="n">
        <f aca="false">SUM(B7:B19)</f>
        <v>97</v>
      </c>
      <c r="C20" s="15"/>
      <c r="D20" s="15"/>
      <c r="E20" s="15"/>
      <c r="F20" s="15"/>
      <c r="G20" s="15"/>
    </row>
    <row r="22" customFormat="false" ht="19.5" hidden="false" customHeight="true" outlineLevel="0" collapsed="false">
      <c r="A22" s="4" t="s">
        <v>430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true" outlineLevel="0" collapsed="false">
      <c r="A23" s="5" t="s">
        <v>431</v>
      </c>
      <c r="B23" s="6"/>
      <c r="C23" s="6"/>
      <c r="D23" s="6"/>
      <c r="E23" s="6"/>
      <c r="F23" s="6"/>
      <c r="G23" s="5"/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5" t="s">
        <v>432</v>
      </c>
      <c r="B24" s="6"/>
      <c r="C24" s="6"/>
      <c r="D24" s="6"/>
      <c r="E24" s="6"/>
      <c r="F24" s="6"/>
      <c r="G24" s="5"/>
      <c r="H24" s="6"/>
      <c r="I24" s="6"/>
      <c r="J24" s="6"/>
      <c r="K24" s="6"/>
      <c r="L24" s="6"/>
      <c r="M24" s="6"/>
      <c r="N24" s="6"/>
    </row>
    <row r="25" customFormat="false" ht="15" hidden="false" customHeight="true" outlineLevel="0" collapsed="false">
      <c r="A25" s="5" t="s">
        <v>433</v>
      </c>
      <c r="B25" s="6"/>
      <c r="C25" s="6"/>
      <c r="D25" s="6"/>
      <c r="E25" s="6"/>
      <c r="F25" s="6"/>
      <c r="G25" s="5"/>
      <c r="H25" s="6"/>
      <c r="I25" s="6"/>
      <c r="J25" s="6"/>
      <c r="K25" s="6"/>
      <c r="L25" s="6"/>
      <c r="M25" s="6"/>
      <c r="N25" s="6"/>
    </row>
    <row r="26" customFormat="false" ht="15" hidden="false" customHeight="true" outlineLevel="0" collapsed="false">
      <c r="A26" s="5" t="s">
        <v>434</v>
      </c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  <c r="N26" s="6"/>
    </row>
    <row r="27" customFormat="false" ht="15" hidden="false" customHeight="true" outlineLevel="0" collapsed="false">
      <c r="A27" s="5" t="s">
        <v>435</v>
      </c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  <c r="N27" s="6"/>
    </row>
    <row r="28" customFormat="false" ht="15" hidden="false" customHeight="true" outlineLevel="0" collapsed="false">
      <c r="A28" s="5" t="s">
        <v>436</v>
      </c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  <c r="N28" s="6"/>
    </row>
    <row r="30" customFormat="false" ht="19.5" hidden="false" customHeight="true" outlineLevel="0" collapsed="false">
      <c r="A30" s="4" t="s">
        <v>437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79.5" hidden="false" customHeight="true" outlineLevel="0" collapsed="false">
      <c r="A31" s="22" t="s">
        <v>438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8" customFormat="false" ht="19.5" hidden="false" customHeight="true" outlineLevel="0" collapsed="false">
      <c r="A38" s="4" t="s">
        <v>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.75" hidden="false" customHeight="true" outlineLevel="0" collapsed="false">
      <c r="A39" s="5" t="s">
        <v>11</v>
      </c>
      <c r="B39" s="6"/>
      <c r="C39" s="6"/>
      <c r="D39" s="6"/>
      <c r="E39" s="6"/>
      <c r="F39" s="6"/>
      <c r="G39" s="5" t="s">
        <v>439</v>
      </c>
      <c r="H39" s="6"/>
      <c r="I39" s="6"/>
      <c r="J39" s="6"/>
      <c r="K39" s="6"/>
      <c r="L39" s="6"/>
      <c r="M39" s="6"/>
      <c r="N39" s="6"/>
    </row>
    <row r="40" customFormat="false" ht="15.75" hidden="false" customHeight="true" outlineLevel="0" collapsed="false">
      <c r="A40" s="5" t="s">
        <v>34</v>
      </c>
      <c r="B40" s="6"/>
      <c r="C40" s="6"/>
      <c r="D40" s="6"/>
      <c r="E40" s="6"/>
      <c r="F40" s="6"/>
      <c r="G40" s="5" t="s">
        <v>439</v>
      </c>
      <c r="H40" s="6"/>
      <c r="I40" s="6"/>
      <c r="J40" s="6"/>
      <c r="K40" s="6"/>
      <c r="L40" s="6"/>
      <c r="M40" s="6"/>
      <c r="N40" s="6"/>
    </row>
    <row r="41" customFormat="false" ht="15.75" hidden="false" customHeight="true" outlineLevel="0" collapsed="false">
      <c r="A41" s="5" t="s">
        <v>440</v>
      </c>
      <c r="B41" s="6"/>
      <c r="C41" s="6"/>
      <c r="D41" s="6"/>
      <c r="E41" s="6"/>
      <c r="F41" s="6"/>
      <c r="G41" s="5" t="s">
        <v>33</v>
      </c>
      <c r="H41" s="6"/>
      <c r="I41" s="6"/>
      <c r="J41" s="6"/>
      <c r="K41" s="6"/>
      <c r="L41" s="6"/>
      <c r="M41" s="6"/>
      <c r="N41" s="6"/>
    </row>
    <row r="42" customFormat="false" ht="15.75" hidden="false" customHeight="true" outlineLevel="0" collapsed="false">
      <c r="A42" s="5" t="s">
        <v>441</v>
      </c>
      <c r="B42" s="6"/>
      <c r="C42" s="6"/>
      <c r="D42" s="6"/>
      <c r="E42" s="6"/>
      <c r="F42" s="6"/>
      <c r="G42" s="5" t="s">
        <v>442</v>
      </c>
      <c r="H42" s="6"/>
      <c r="I42" s="6"/>
      <c r="J42" s="6"/>
      <c r="K42" s="6"/>
      <c r="L42" s="6"/>
      <c r="M42" s="6"/>
      <c r="N42" s="6"/>
    </row>
    <row r="44" customFormat="false" ht="4.5" hidden="false" customHeight="true" outlineLevel="0" collapsed="false"/>
    <row r="45" customFormat="false" ht="13.5" hidden="false" customHeight="true" outlineLevel="0" collapsed="false">
      <c r="A45" s="9" t="s">
        <v>37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</sheetData>
  <mergeCells count="29">
    <mergeCell ref="A1:G1"/>
    <mergeCell ref="H1:N1"/>
    <mergeCell ref="A3:N3"/>
    <mergeCell ref="A5:N5"/>
    <mergeCell ref="A22:N22"/>
    <mergeCell ref="B23:F23"/>
    <mergeCell ref="H23:N23"/>
    <mergeCell ref="B24:F24"/>
    <mergeCell ref="H24:N24"/>
    <mergeCell ref="B25:F25"/>
    <mergeCell ref="H25:N25"/>
    <mergeCell ref="B26:F26"/>
    <mergeCell ref="H26:N26"/>
    <mergeCell ref="B27:F27"/>
    <mergeCell ref="H27:N27"/>
    <mergeCell ref="B28:F28"/>
    <mergeCell ref="H28:N28"/>
    <mergeCell ref="A30:N30"/>
    <mergeCell ref="A31:N36"/>
    <mergeCell ref="A38:N38"/>
    <mergeCell ref="B39:F39"/>
    <mergeCell ref="H39:N39"/>
    <mergeCell ref="B40:F40"/>
    <mergeCell ref="H40:N40"/>
    <mergeCell ref="B41:F41"/>
    <mergeCell ref="H41:N41"/>
    <mergeCell ref="B42:F42"/>
    <mergeCell ref="H42:N42"/>
    <mergeCell ref="A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2026-03-20T12:32:54Z</dcterms:created>
  <dc:creator>openpyxl</dc:creator>
  <dc:description/>
  <dc:language>en-US</dc:language>
  <cp:lastModifiedBy/>
  <dcterms:modified xsi:type="dcterms:W3CDTF">2026-03-20T12:32:54Z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