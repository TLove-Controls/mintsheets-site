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HU Schedule" sheetId="2" state="visible" r:id="rId4"/>
    <sheet name="RTU Schedule" sheetId="3" state="visible" r:id="rId5"/>
    <sheet name="Chiller Schedule" sheetId="4" state="visible" r:id="rId6"/>
    <sheet name="Boiler &amp; Hydronic Schedule" sheetId="5" state="visible" r:id="rId7"/>
    <sheet name="Fan Schedule" sheetId="6" state="visible" r:id="rId8"/>
    <sheet name="Terminal Unit Schedule" sheetId="7" state="visible" r:id="rId9"/>
    <sheet name="Electrical Load Schedule" sheetId="8" state="visible" r:id="rId10"/>
    <sheet name="Controls Schedule" sheetId="9" state="visible" r:id="rId11"/>
    <sheet name="Master 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<sst xmlns="http://schemas.openxmlformats.org/spreadsheetml/2006/main" count="1540" uniqueCount="743">
  <si>
    <t xml:space="preserve">Your HVAC Co.</t>
  </si>
  <si>
    <t xml:space="preserve">HVAC Equipment Schedule</t>
  </si>
  <si>
    <t xml:space="preserve">HVAC EQUIPMENT SCHEDULE</t>
  </si>
  <si>
    <t xml:space="preserve">  📋  PROJECT INFORMATION</t>
  </si>
  <si>
    <t xml:space="preserve">Project Name:</t>
  </si>
  <si>
    <t xml:space="preserve">Project Number:</t>
  </si>
  <si>
    <t xml:space="preserve">Project Address:</t>
  </si>
  <si>
    <t xml:space="preserve">Schedule Date:</t>
  </si>
  <si>
    <t xml:space="preserve">Building Type:</t>
  </si>
  <si>
    <t xml:space="preserve">Revision #:</t>
  </si>
  <si>
    <t xml:space="preserve">Owner / Client:</t>
  </si>
  <si>
    <t xml:space="preserve">Prepared By:</t>
  </si>
  <si>
    <t xml:space="preserve">Architect / Engineer:</t>
  </si>
  <si>
    <t xml:space="preserve">Company:</t>
  </si>
  <si>
    <t xml:space="preserve">General Contractor:</t>
  </si>
  <si>
    <t xml:space="preserve">Reviewed By:</t>
  </si>
  <si>
    <t xml:space="preserve">  ⚙️  SCHEDULE SCOPE &amp; NOTES</t>
  </si>
  <si>
    <t xml:space="preserve">   • This HVAC Equipment Schedule provides engineering-level specifications for all mechanical equipment.</t>
  </si>
  <si>
    <t xml:space="preserve">   • Each schedule sheet lists design parameters, capacities, electrical data, connection sizes, and performance criteria.</t>
  </si>
  <si>
    <t xml:space="preserve">   • Equipment tags must match the contract drawings, submittals, and shop drawing approvals.</t>
  </si>
  <si>
    <t xml:space="preserve">   • All performance data is based on design conditions and must be verified by the equipment manufacturer.</t>
  </si>
  <si>
    <t xml:space="preserve">   • Highlighted (yellow) cells contain calculated values. Blue cells are user inputs.</t>
  </si>
  <si>
    <t xml:space="preserve">   • Use alongside the Air Balance Report, Equipment List, and Commissioning Checklist.</t>
  </si>
  <si>
    <t xml:space="preserve">  ✅  CERTIFICATION &amp; SIGN-OFF</t>
  </si>
  <si>
    <t xml:space="preserve">Title:</t>
  </si>
  <si>
    <t xml:space="preserve">Approved By:</t>
  </si>
  <si>
    <t xml:space="preserve">Date:</t>
  </si>
  <si>
    <t xml:space="preserve">Engineer of Record:</t>
  </si>
  <si>
    <t xml:space="preserve">PE License #:</t>
  </si>
  <si>
    <t xml:space="preserve">Your HVAC Co.  •  Rogers, AR  •  (479) 555-0100  •  www.yourhvacco.com</t>
  </si>
  <si>
    <t xml:space="preserve">  🏭  AIR HANDLING UNIT (AHU) SCHEDULE</t>
  </si>
  <si>
    <t xml:space="preserve">  ▶  GENERAL &amp; AIRFLOW DATA</t>
  </si>
  <si>
    <t xml:space="preserve">Tag</t>
  </si>
  <si>
    <t xml:space="preserve">Description</t>
  </si>
  <si>
    <t xml:space="preserve">Location</t>
  </si>
  <si>
    <t xml:space="preserve">Supply CFM</t>
  </si>
  <si>
    <t xml:space="preserve">Return CFM</t>
  </si>
  <si>
    <t xml:space="preserve">OA CFM</t>
  </si>
  <si>
    <t xml:space="preserve">EA CFM</t>
  </si>
  <si>
    <t xml:space="preserve">Min OA %</t>
  </si>
  <si>
    <t xml:space="preserve">Supply SP (in.wg)</t>
  </si>
  <si>
    <t xml:space="preserve">Ext SP (in.wg)</t>
  </si>
  <si>
    <t xml:space="preserve">Filter Type</t>
  </si>
  <si>
    <t xml:space="preserve">MERV</t>
  </si>
  <si>
    <t xml:space="preserve">Drive Type</t>
  </si>
  <si>
    <t xml:space="preserve">Fan Type</t>
  </si>
  <si>
    <t xml:space="preserve">AHU Class</t>
  </si>
  <si>
    <t xml:space="preserve">Notes</t>
  </si>
  <si>
    <t xml:space="preserve">AHU-1</t>
  </si>
  <si>
    <t xml:space="preserve">Air Handling Unit</t>
  </si>
  <si>
    <t xml:space="preserve">Mech Rm – L1</t>
  </si>
  <si>
    <t xml:space="preserve">Pleated</t>
  </si>
  <si>
    <t xml:space="preserve">13</t>
  </si>
  <si>
    <t xml:space="preserve">Belt</t>
  </si>
  <si>
    <t xml:space="preserve">Forward Curved</t>
  </si>
  <si>
    <t xml:space="preserve">Class I</t>
  </si>
  <si>
    <t xml:space="preserve">AHU-2</t>
  </si>
  <si>
    <t xml:space="preserve">Mech Rm – L2</t>
  </si>
  <si>
    <t xml:space="preserve">Direct</t>
  </si>
  <si>
    <t xml:space="preserve">DWDI</t>
  </si>
  <si>
    <t xml:space="preserve">AHU-3</t>
  </si>
  <si>
    <t xml:space="preserve">Penthouse</t>
  </si>
  <si>
    <t xml:space="preserve">Bag</t>
  </si>
  <si>
    <t xml:space="preserve">14</t>
  </si>
  <si>
    <t xml:space="preserve">VFD</t>
  </si>
  <si>
    <t xml:space="preserve">Airfoil</t>
  </si>
  <si>
    <t xml:space="preserve">Class II</t>
  </si>
  <si>
    <t xml:space="preserve">MAU-1</t>
  </si>
  <si>
    <t xml:space="preserve">Makeup Air Unit</t>
  </si>
  <si>
    <t xml:space="preserve">Roof – North</t>
  </si>
  <si>
    <t xml:space="preserve">DOAS-1</t>
  </si>
  <si>
    <t xml:space="preserve">Ded. OA System</t>
  </si>
  <si>
    <t xml:space="preserve">Roof – South</t>
  </si>
  <si>
    <t xml:space="preserve">HEPA</t>
  </si>
  <si>
    <t xml:space="preserve">16</t>
  </si>
  <si>
    <t xml:space="preserve">ERU-1</t>
  </si>
  <si>
    <t xml:space="preserve">Energy Recovery Unit</t>
  </si>
  <si>
    <t xml:space="preserve">  ▶  FAN &amp; MOTOR DATA</t>
  </si>
  <si>
    <t xml:space="preserve">Supply Fan HP</t>
  </si>
  <si>
    <t xml:space="preserve">Supply RPM (Des.)</t>
  </si>
  <si>
    <t xml:space="preserve">Supply RPM (Act.)</t>
  </si>
  <si>
    <t xml:space="preserve">Motor FLA</t>
  </si>
  <si>
    <t xml:space="preserve">Motor Meas. A</t>
  </si>
  <si>
    <t xml:space="preserve">Fan Efficiency (%)</t>
  </si>
  <si>
    <t xml:space="preserve">BHP</t>
  </si>
  <si>
    <t xml:space="preserve">Sheave / Belt</t>
  </si>
  <si>
    <t xml:space="preserve">Motor Frame</t>
  </si>
  <si>
    <t xml:space="preserve">Voltage</t>
  </si>
  <si>
    <t xml:space="preserve">Phase</t>
  </si>
  <si>
    <t xml:space="preserve">Hz</t>
  </si>
  <si>
    <t xml:space="preserve">VFD?</t>
  </si>
  <si>
    <t xml:space="preserve">Service Factor</t>
  </si>
  <si>
    <t xml:space="preserve">  ▶  COOLING &amp; HEATING COIL DATA</t>
  </si>
  <si>
    <t xml:space="preserve">Cooling Cap. (MBH)</t>
  </si>
  <si>
    <t xml:space="preserve">Sens. Cap. (MBH)</t>
  </si>
  <si>
    <t xml:space="preserve">EAT DB/WB (°F)</t>
  </si>
  <si>
    <t xml:space="preserve">LAT DB/WB (°F)</t>
  </si>
  <si>
    <t xml:space="preserve">Cooling GPM</t>
  </si>
  <si>
    <t xml:space="preserve">Cooling ΔP (ft)</t>
  </si>
  <si>
    <t xml:space="preserve">Htg Cap. (MBH)</t>
  </si>
  <si>
    <t xml:space="preserve">Htg EAT (°F)</t>
  </si>
  <si>
    <t xml:space="preserve">Htg LAT (°F)</t>
  </si>
  <si>
    <t xml:space="preserve">Htg GPM</t>
  </si>
  <si>
    <t xml:space="preserve">Htg ΔP (ft)</t>
  </si>
  <si>
    <t xml:space="preserve">Rows x Fins</t>
  </si>
  <si>
    <t xml:space="preserve">Coil Face Vel.</t>
  </si>
  <si>
    <t xml:space="preserve">Face Area (ft²)</t>
  </si>
  <si>
    <t xml:space="preserve">  🏢  ROOFTOP UNIT (RTU) SCHEDULE</t>
  </si>
  <si>
    <t xml:space="preserve">Zone Served</t>
  </si>
  <si>
    <t xml:space="preserve">Total CFM</t>
  </si>
  <si>
    <t xml:space="preserve">Cooling Cap. (Tons)</t>
  </si>
  <si>
    <t xml:space="preserve">EER / SEER</t>
  </si>
  <si>
    <t xml:space="preserve">Refrig.</t>
  </si>
  <si>
    <t xml:space="preserve">Comp. Type</t>
  </si>
  <si>
    <t xml:space="preserve">Motor HP</t>
  </si>
  <si>
    <t xml:space="preserve">Econ.?</t>
  </si>
  <si>
    <t xml:space="preserve">Filter MERV</t>
  </si>
  <si>
    <t xml:space="preserve">RTU-1</t>
  </si>
  <si>
    <t xml:space="preserve">Rooftop Unit</t>
  </si>
  <si>
    <t xml:space="preserve">Zone A – Office</t>
  </si>
  <si>
    <t xml:space="preserve">R-410A</t>
  </si>
  <si>
    <t xml:space="preserve">Scroll</t>
  </si>
  <si>
    <t xml:space="preserve">460/3/60</t>
  </si>
  <si>
    <t xml:space="preserve">Yes</t>
  </si>
  <si>
    <t xml:space="preserve">RTU-2</t>
  </si>
  <si>
    <t xml:space="preserve">Zone B – Conf.</t>
  </si>
  <si>
    <t xml:space="preserve">RTU-3</t>
  </si>
  <si>
    <t xml:space="preserve">Zone C – East</t>
  </si>
  <si>
    <t xml:space="preserve">RTU-4</t>
  </si>
  <si>
    <t xml:space="preserve">Zone D – West</t>
  </si>
  <si>
    <t xml:space="preserve">RTU-5</t>
  </si>
  <si>
    <t xml:space="preserve">Zone E – Lobby</t>
  </si>
  <si>
    <t xml:space="preserve">RTU-6</t>
  </si>
  <si>
    <t xml:space="preserve">Zone F – Server</t>
  </si>
  <si>
    <t xml:space="preserve">No</t>
  </si>
  <si>
    <t xml:space="preserve">Redundant</t>
  </si>
  <si>
    <t xml:space="preserve">RTU-7</t>
  </si>
  <si>
    <t xml:space="preserve">Zone G – Gym</t>
  </si>
  <si>
    <t xml:space="preserve">RTU-8</t>
  </si>
  <si>
    <t xml:space="preserve">Zone H – Mfg</t>
  </si>
  <si>
    <t xml:space="preserve">R-32</t>
  </si>
  <si>
    <t xml:space="preserve">WSHP-1</t>
  </si>
  <si>
    <t xml:space="preserve">Water Source HP</t>
  </si>
  <si>
    <t xml:space="preserve">Suite 101</t>
  </si>
  <si>
    <t xml:space="preserve">208/1/60</t>
  </si>
  <si>
    <t xml:space="preserve">N/A</t>
  </si>
  <si>
    <t xml:space="preserve">10</t>
  </si>
  <si>
    <t xml:space="preserve">WSHP-2</t>
  </si>
  <si>
    <t xml:space="preserve">Suite 102</t>
  </si>
  <si>
    <t xml:space="preserve">WSHP-3</t>
  </si>
  <si>
    <t xml:space="preserve">Conference B</t>
  </si>
  <si>
    <t xml:space="preserve">WSHP-4</t>
  </si>
  <si>
    <t xml:space="preserve">Break Room</t>
  </si>
  <si>
    <t xml:space="preserve">TOTAL RTU / WSHP UNITS: 12</t>
  </si>
  <si>
    <t xml:space="preserve">  📊  RTU SCHEDULE SUMMARY</t>
  </si>
  <si>
    <t xml:space="preserve">Total Cooling Capacity (Tons):</t>
  </si>
  <si>
    <t xml:space="preserve">Total Heating Capacity (MBH):</t>
  </si>
  <si>
    <t xml:space="preserve">Total Supply CFM:</t>
  </si>
  <si>
    <t xml:space="preserve">Total OA CFM:</t>
  </si>
  <si>
    <t xml:space="preserve">Units w/ Economizer:</t>
  </si>
  <si>
    <t xml:space="preserve">Total Units:</t>
  </si>
  <si>
    <t xml:space="preserve">  ❄️  CHILLER &amp; CONDENSING UNIT SCHEDULE</t>
  </si>
  <si>
    <t xml:space="preserve">  ▶  CHILLERS</t>
  </si>
  <si>
    <t xml:space="preserve">kW/Ton</t>
  </si>
  <si>
    <t xml:space="preserve">IPLV</t>
  </si>
  <si>
    <t xml:space="preserve">Chilled Water EWT (°F)</t>
  </si>
  <si>
    <t xml:space="preserve">Chilled Water LWT (°F)</t>
  </si>
  <si>
    <t xml:space="preserve">CW GPM</t>
  </si>
  <si>
    <t xml:space="preserve">CW ΔP (ft)</t>
  </si>
  <si>
    <t xml:space="preserve">Cond. Type</t>
  </si>
  <si>
    <t xml:space="preserve">Cond. GPM</t>
  </si>
  <si>
    <t xml:space="preserve">Cond. EWT</t>
  </si>
  <si>
    <t xml:space="preserve">Cond. LWT</t>
  </si>
  <si>
    <t xml:space="preserve">Refrigerant</t>
  </si>
  <si>
    <t xml:space="preserve">CH-1</t>
  </si>
  <si>
    <t xml:space="preserve">Air-Cooled Chiller</t>
  </si>
  <si>
    <t xml:space="preserve">Roof</t>
  </si>
  <si>
    <t xml:space="preserve">44</t>
  </si>
  <si>
    <t xml:space="preserve">54</t>
  </si>
  <si>
    <t xml:space="preserve">Air</t>
  </si>
  <si>
    <t xml:space="preserve">CH-2</t>
  </si>
  <si>
    <t xml:space="preserve">Water-Cooled Chiller</t>
  </si>
  <si>
    <t xml:space="preserve">Chiller Plant</t>
  </si>
  <si>
    <t xml:space="preserve">Water</t>
  </si>
  <si>
    <t xml:space="preserve">85</t>
  </si>
  <si>
    <t xml:space="preserve">95</t>
  </si>
  <si>
    <t xml:space="preserve">R-134a</t>
  </si>
  <si>
    <t xml:space="preserve">CH-3</t>
  </si>
  <si>
    <t xml:space="preserve">Modular Chiller – A</t>
  </si>
  <si>
    <t xml:space="preserve">Roof – Mod Bay</t>
  </si>
  <si>
    <t xml:space="preserve">Modular</t>
  </si>
  <si>
    <t xml:space="preserve">CH-4</t>
  </si>
  <si>
    <t xml:space="preserve">Modular Chiller – B</t>
  </si>
  <si>
    <t xml:space="preserve">  ▶  COOLING TOWERS</t>
  </si>
  <si>
    <t xml:space="preserve">Design GPM</t>
  </si>
  <si>
    <t xml:space="preserve">Range (°F)</t>
  </si>
  <si>
    <t xml:space="preserve">Approach (°F)</t>
  </si>
  <si>
    <t xml:space="preserve">WBT Design (°F)</t>
  </si>
  <si>
    <t xml:space="preserve">Fan HP</t>
  </si>
  <si>
    <t xml:space="preserve">Fan RPM</t>
  </si>
  <si>
    <t xml:space="preserve">Drift Loss %</t>
  </si>
  <si>
    <t xml:space="preserve">Basin Cap. (gal)</t>
  </si>
  <si>
    <t xml:space="preserve">Water Treatment</t>
  </si>
  <si>
    <t xml:space="preserve">Fill Type</t>
  </si>
  <si>
    <t xml:space="preserve">Material</t>
  </si>
  <si>
    <t xml:space="preserve">CT-1</t>
  </si>
  <si>
    <t xml:space="preserve">Cooling Tower</t>
  </si>
  <si>
    <t xml:space="preserve">Roof – East</t>
  </si>
  <si>
    <t xml:space="preserve">7</t>
  </si>
  <si>
    <t xml:space="preserve">78</t>
  </si>
  <si>
    <t xml:space="preserve">0.001</t>
  </si>
  <si>
    <t xml:space="preserve">Chemical</t>
  </si>
  <si>
    <t xml:space="preserve">Film</t>
  </si>
  <si>
    <t xml:space="preserve">FRP</t>
  </si>
  <si>
    <t xml:space="preserve">CT-2</t>
  </si>
  <si>
    <t xml:space="preserve">Roof – West</t>
  </si>
  <si>
    <t xml:space="preserve">  ▶  CONDENSING UNITS</t>
  </si>
  <si>
    <t xml:space="preserve">EER</t>
  </si>
  <si>
    <t xml:space="preserve"># Circuits</t>
  </si>
  <si>
    <t xml:space="preserve">MCA</t>
  </si>
  <si>
    <t xml:space="preserve">MOCP</t>
  </si>
  <si>
    <t xml:space="preserve">Cond. Fan HP</t>
  </si>
  <si>
    <t xml:space="preserve">Sound (dBA)</t>
  </si>
  <si>
    <t xml:space="preserve">Min OAT (°F)</t>
  </si>
  <si>
    <t xml:space="preserve">Liquid Line Sz</t>
  </si>
  <si>
    <t xml:space="preserve">CU-1</t>
  </si>
  <si>
    <t xml:space="preserve">Condensing Unit</t>
  </si>
  <si>
    <t xml:space="preserve">2</t>
  </si>
  <si>
    <t xml:space="preserve">0</t>
  </si>
  <si>
    <t xml:space="preserve">CU-2</t>
  </si>
  <si>
    <t xml:space="preserve">CU-3</t>
  </si>
  <si>
    <t xml:space="preserve">Grade – East</t>
  </si>
  <si>
    <t xml:space="preserve">1</t>
  </si>
  <si>
    <t xml:space="preserve">VRF-1</t>
  </si>
  <si>
    <t xml:space="preserve">VRF Outdoor Unit</t>
  </si>
  <si>
    <t xml:space="preserve">Roof – VRF</t>
  </si>
  <si>
    <t xml:space="preserve">Inverter Scroll</t>
  </si>
  <si>
    <t xml:space="preserve">4</t>
  </si>
  <si>
    <t xml:space="preserve">5</t>
  </si>
  <si>
    <t xml:space="preserve">VRF-2</t>
  </si>
  <si>
    <t xml:space="preserve">  🔥  BOILER, PUMP &amp; HYDRONIC EQUIPMENT SCHEDULE</t>
  </si>
  <si>
    <t xml:space="preserve">  ▶  BOILERS</t>
  </si>
  <si>
    <t xml:space="preserve">Input (MBH)</t>
  </si>
  <si>
    <t xml:space="preserve">Output (MBH)</t>
  </si>
  <si>
    <t xml:space="preserve">Efficiency (%)</t>
  </si>
  <si>
    <t xml:space="preserve">Fuel</t>
  </si>
  <si>
    <t xml:space="preserve">EWT (°F)</t>
  </si>
  <si>
    <t xml:space="preserve">LWT (°F)</t>
  </si>
  <si>
    <t xml:space="preserve">GPM</t>
  </si>
  <si>
    <t xml:space="preserve">Gas Conn.</t>
  </si>
  <si>
    <t xml:space="preserve">Flue Size</t>
  </si>
  <si>
    <t xml:space="preserve">Turndown</t>
  </si>
  <si>
    <t xml:space="preserve">B-1</t>
  </si>
  <si>
    <t xml:space="preserve">Gas-Fired Condensing</t>
  </si>
  <si>
    <t xml:space="preserve">Boiler Rm</t>
  </si>
  <si>
    <t xml:space="preserve">Nat. Gas</t>
  </si>
  <si>
    <t xml:space="preserve">140</t>
  </si>
  <si>
    <t xml:space="preserve">180</t>
  </si>
  <si>
    <t xml:space="preserve">3/4" NPT</t>
  </si>
  <si>
    <t xml:space="preserve">6" SS</t>
  </si>
  <si>
    <t xml:space="preserve">120/1/60</t>
  </si>
  <si>
    <t xml:space="preserve">5:1</t>
  </si>
  <si>
    <t xml:space="preserve">B-2</t>
  </si>
  <si>
    <t xml:space="preserve">Standby</t>
  </si>
  <si>
    <t xml:space="preserve">WH-1</t>
  </si>
  <si>
    <t xml:space="preserve">Gas Water Heater</t>
  </si>
  <si>
    <t xml:space="preserve">Mech Rm</t>
  </si>
  <si>
    <t xml:space="preserve">80</t>
  </si>
  <si>
    <t xml:space="preserve">1/2" NPT</t>
  </si>
  <si>
    <t xml:space="preserve">4"</t>
  </si>
  <si>
    <t xml:space="preserve">1:1</t>
  </si>
  <si>
    <t xml:space="preserve">DHW</t>
  </si>
  <si>
    <t xml:space="preserve">WH-2</t>
  </si>
  <si>
    <t xml:space="preserve">Electric Water Heater</t>
  </si>
  <si>
    <t xml:space="preserve">Janitor Rm</t>
  </si>
  <si>
    <t xml:space="preserve">99</t>
  </si>
  <si>
    <t xml:space="preserve">Electric</t>
  </si>
  <si>
    <t xml:space="preserve">240/1/60</t>
  </si>
  <si>
    <t xml:space="preserve">DHW – Local</t>
  </si>
  <si>
    <t xml:space="preserve">  ▶  HYDRONIC PUMPS</t>
  </si>
  <si>
    <t xml:space="preserve">System</t>
  </si>
  <si>
    <t xml:space="preserve">Design TDH (ft)</t>
  </si>
  <si>
    <t xml:space="preserve">Max GPM</t>
  </si>
  <si>
    <t xml:space="preserve">RPM</t>
  </si>
  <si>
    <t xml:space="preserve">Suction Sz</t>
  </si>
  <si>
    <t xml:space="preserve">Discharge Sz</t>
  </si>
  <si>
    <t xml:space="preserve">Impeller Dia.</t>
  </si>
  <si>
    <t xml:space="preserve">P-1</t>
  </si>
  <si>
    <t xml:space="preserve">CW Pump – Primary</t>
  </si>
  <si>
    <t xml:space="preserve">Chilled Water</t>
  </si>
  <si>
    <t xml:space="preserve">P-2</t>
  </si>
  <si>
    <t xml:space="preserve">CW Pump – Secondary</t>
  </si>
  <si>
    <t xml:space="preserve">P-3</t>
  </si>
  <si>
    <t xml:space="preserve">Condenser Water Pump</t>
  </si>
  <si>
    <t xml:space="preserve">Condenser Water</t>
  </si>
  <si>
    <t xml:space="preserve">P-4</t>
  </si>
  <si>
    <t xml:space="preserve">HW Pump – Primary</t>
  </si>
  <si>
    <t xml:space="preserve">Heating Water</t>
  </si>
  <si>
    <t xml:space="preserve">P-5</t>
  </si>
  <si>
    <t xml:space="preserve">HW Pump – Secondary</t>
  </si>
  <si>
    <t xml:space="preserve">P-6</t>
  </si>
  <si>
    <t xml:space="preserve">DHW Circulator</t>
  </si>
  <si>
    <t xml:space="preserve">Dom. Hot Water</t>
  </si>
  <si>
    <t xml:space="preserve">P-7</t>
  </si>
  <si>
    <t xml:space="preserve">Glycol Pump</t>
  </si>
  <si>
    <t xml:space="preserve">Ground Loop</t>
  </si>
  <si>
    <t xml:space="preserve">Geo system</t>
  </si>
  <si>
    <t xml:space="preserve">  ▶  HEAT EXCHANGERS &amp; ACCESSORY EQUIPMENT</t>
  </si>
  <si>
    <t xml:space="preserve">Cap. (MBH)</t>
  </si>
  <si>
    <t xml:space="preserve">Primary GPM</t>
  </si>
  <si>
    <t xml:space="preserve">Primary EWT</t>
  </si>
  <si>
    <t xml:space="preserve">Primary LWT</t>
  </si>
  <si>
    <t xml:space="preserve">Secondary GPM</t>
  </si>
  <si>
    <t xml:space="preserve">Secondary EWT</t>
  </si>
  <si>
    <t xml:space="preserve">Secondary LWT</t>
  </si>
  <si>
    <t xml:space="preserve">ΔP Primary (ft)</t>
  </si>
  <si>
    <t xml:space="preserve">ΔP Sec. (ft)</t>
  </si>
  <si>
    <t xml:space="preserve">Conn. Size</t>
  </si>
  <si>
    <t xml:space="preserve">ASME Rating</t>
  </si>
  <si>
    <t xml:space="preserve">HX-1</t>
  </si>
  <si>
    <t xml:space="preserve">Plate &amp; Frame HX</t>
  </si>
  <si>
    <t xml:space="preserve">CW/Geo Interface</t>
  </si>
  <si>
    <t xml:space="preserve">316 SS</t>
  </si>
  <si>
    <t xml:space="preserve">150 psi</t>
  </si>
  <si>
    <t xml:space="preserve">HX-2</t>
  </si>
  <si>
    <t xml:space="preserve">Shell &amp; Tube HX</t>
  </si>
  <si>
    <t xml:space="preserve">HW/DHW</t>
  </si>
  <si>
    <t xml:space="preserve">Carbon Steel</t>
  </si>
  <si>
    <t xml:space="preserve">EXP-1</t>
  </si>
  <si>
    <t xml:space="preserve">Expansion Tank – CW</t>
  </si>
  <si>
    <t xml:space="preserve">125 psi</t>
  </si>
  <si>
    <t xml:space="preserve">Pre-charged</t>
  </si>
  <si>
    <t xml:space="preserve">EXP-2</t>
  </si>
  <si>
    <t xml:space="preserve">Expansion Tank – HW</t>
  </si>
  <si>
    <t xml:space="preserve">CS-1</t>
  </si>
  <si>
    <t xml:space="preserve">Chemical Treatment Sys.</t>
  </si>
  <si>
    <t xml:space="preserve">Auto feed</t>
  </si>
  <si>
    <t xml:space="preserve">  💨  EXHAUST FAN &amp; VENTILATION EQUIPMENT SCHEDULE</t>
  </si>
  <si>
    <t xml:space="preserve">Serving / Location</t>
  </si>
  <si>
    <t xml:space="preserve">Design CFM</t>
  </si>
  <si>
    <t xml:space="preserve">Design SP (in.wg)</t>
  </si>
  <si>
    <t xml:space="preserve">Act. CFM</t>
  </si>
  <si>
    <t xml:space="preserve">Act. SP</t>
  </si>
  <si>
    <t xml:space="preserve">Discharge</t>
  </si>
  <si>
    <t xml:space="preserve">EF-1</t>
  </si>
  <si>
    <t xml:space="preserve">Centrifugal Exhaust Fan</t>
  </si>
  <si>
    <t xml:space="preserve">Restrooms – L1</t>
  </si>
  <si>
    <t xml:space="preserve">0.50</t>
  </si>
  <si>
    <t xml:space="preserve">EF-2</t>
  </si>
  <si>
    <t xml:space="preserve">Restrooms – L2</t>
  </si>
  <si>
    <t xml:space="preserve">EF-3</t>
  </si>
  <si>
    <t xml:space="preserve">Inline Kitchen Exhaust</t>
  </si>
  <si>
    <t xml:space="preserve">1.00</t>
  </si>
  <si>
    <t xml:space="preserve">EF-4</t>
  </si>
  <si>
    <t xml:space="preserve">Lab Exhaust Fan</t>
  </si>
  <si>
    <t xml:space="preserve">Lab 101</t>
  </si>
  <si>
    <t xml:space="preserve">1.25</t>
  </si>
  <si>
    <t xml:space="preserve">Fume Hood Stack</t>
  </si>
  <si>
    <t xml:space="preserve">Corrosive</t>
  </si>
  <si>
    <t xml:space="preserve">EF-5</t>
  </si>
  <si>
    <t xml:space="preserve">Parking Exhaust Fan</t>
  </si>
  <si>
    <t xml:space="preserve">Garage – L1</t>
  </si>
  <si>
    <t xml:space="preserve">0.25</t>
  </si>
  <si>
    <t xml:space="preserve">Garage Wall</t>
  </si>
  <si>
    <t xml:space="preserve">CO sensor ctrl</t>
  </si>
  <si>
    <t xml:space="preserve">EF-6</t>
  </si>
  <si>
    <t xml:space="preserve">Garage – L2</t>
  </si>
  <si>
    <t xml:space="preserve">PV-1</t>
  </si>
  <si>
    <t xml:space="preserve">Power Ventilator – Supply</t>
  </si>
  <si>
    <t xml:space="preserve">Gym</t>
  </si>
  <si>
    <t xml:space="preserve">0.75</t>
  </si>
  <si>
    <t xml:space="preserve">Wall Louver</t>
  </si>
  <si>
    <t xml:space="preserve">PV-2</t>
  </si>
  <si>
    <t xml:space="preserve">Power Ventilator – Return</t>
  </si>
  <si>
    <t xml:space="preserve">0.60</t>
  </si>
  <si>
    <t xml:space="preserve">ERV-1</t>
  </si>
  <si>
    <t xml:space="preserve">Energy Recovery Ventilator</t>
  </si>
  <si>
    <t xml:space="preserve">Roof – Zone A</t>
  </si>
  <si>
    <t xml:space="preserve">Roof Curb</t>
  </si>
  <si>
    <t xml:space="preserve">ERV-2</t>
  </si>
  <si>
    <t xml:space="preserve">Roof – Zone B</t>
  </si>
  <si>
    <t xml:space="preserve">HRV-1</t>
  </si>
  <si>
    <t xml:space="preserve">Heat Recovery Ventilator</t>
  </si>
  <si>
    <t xml:space="preserve">TF-1</t>
  </si>
  <si>
    <t xml:space="preserve">Toilet Exhaust Fan</t>
  </si>
  <si>
    <t xml:space="preserve">Janitor Closet</t>
  </si>
  <si>
    <t xml:space="preserve">0.30</t>
  </si>
  <si>
    <t xml:space="preserve">TF-2</t>
  </si>
  <si>
    <t xml:space="preserve">Shower – East</t>
  </si>
  <si>
    <t xml:space="preserve">RVF-1</t>
  </si>
  <si>
    <t xml:space="preserve">Roof Ventilator</t>
  </si>
  <si>
    <t xml:space="preserve">Warehouse</t>
  </si>
  <si>
    <t xml:space="preserve">0.10</t>
  </si>
  <si>
    <t xml:space="preserve">Gravity</t>
  </si>
  <si>
    <t xml:space="preserve">EF-7</t>
  </si>
  <si>
    <t xml:space="preserve">Fume Hood Exhaust</t>
  </si>
  <si>
    <t xml:space="preserve">Chem Storage</t>
  </si>
  <si>
    <t xml:space="preserve">1.50</t>
  </si>
  <si>
    <t xml:space="preserve">Dedicated Stack</t>
  </si>
  <si>
    <t xml:space="preserve">NFPA 45</t>
  </si>
  <si>
    <t xml:space="preserve">TOTAL FAN UNITS: 15</t>
  </si>
  <si>
    <t xml:space="preserve">  📊  FAN SCHEDULE SUMMARY</t>
  </si>
  <si>
    <t xml:space="preserve">Total Design CFM (All Fans):</t>
  </si>
  <si>
    <t xml:space="preserve">Total Measured CFM:</t>
  </si>
  <si>
    <t xml:space="preserve">Fan Count – VFD Controlled:</t>
  </si>
  <si>
    <t xml:space="preserve">Fan Count – Fixed Speed:</t>
  </si>
  <si>
    <t xml:space="preserve">Total Fan Units:</t>
  </si>
  <si>
    <t xml:space="preserve">Fans Within ±10% of Design:</t>
  </si>
  <si>
    <t xml:space="preserve">  🌡️  VAV BOX &amp; TERMINAL UNIT SCHEDULE</t>
  </si>
  <si>
    <t xml:space="preserve">Zone / Room</t>
  </si>
  <si>
    <t xml:space="preserve">Min CFM</t>
  </si>
  <si>
    <t xml:space="preserve">Max CFM</t>
  </si>
  <si>
    <t xml:space="preserve">Htg Coil Type</t>
  </si>
  <si>
    <t xml:space="preserve">Htg Rows</t>
  </si>
  <si>
    <t xml:space="preserve">Inlet Size (in.)</t>
  </si>
  <si>
    <t xml:space="preserve">Inlet Vel. (FPM)</t>
  </si>
  <si>
    <t xml:space="preserve">Ctrl Type</t>
  </si>
  <si>
    <t xml:space="preserve">Thermostat</t>
  </si>
  <si>
    <t xml:space="preserve">Actuator</t>
  </si>
  <si>
    <t xml:space="preserve">VAV-101</t>
  </si>
  <si>
    <t xml:space="preserve">VAV – Cooling Only</t>
  </si>
  <si>
    <t xml:space="preserve">Office 101</t>
  </si>
  <si>
    <t xml:space="preserve">None</t>
  </si>
  <si>
    <t xml:space="preserve">DDC / BACnet</t>
  </si>
  <si>
    <t xml:space="preserve">Digital</t>
  </si>
  <si>
    <t xml:space="preserve">Spring Return</t>
  </si>
  <si>
    <t xml:space="preserve">VAV-102</t>
  </si>
  <si>
    <t xml:space="preserve">Office 102</t>
  </si>
  <si>
    <t xml:space="preserve">VAV-103</t>
  </si>
  <si>
    <t xml:space="preserve">VAV – HW Reheat</t>
  </si>
  <si>
    <t xml:space="preserve">Conference A</t>
  </si>
  <si>
    <t xml:space="preserve">HW Coil</t>
  </si>
  <si>
    <t xml:space="preserve">VAV-104</t>
  </si>
  <si>
    <t xml:space="preserve">VAV-201</t>
  </si>
  <si>
    <t xml:space="preserve">Office 201</t>
  </si>
  <si>
    <t xml:space="preserve">VAV-202</t>
  </si>
  <si>
    <t xml:space="preserve">Office 202</t>
  </si>
  <si>
    <t xml:space="preserve">VAV-203</t>
  </si>
  <si>
    <t xml:space="preserve">Open Office – E</t>
  </si>
  <si>
    <t xml:space="preserve">VAV-204</t>
  </si>
  <si>
    <t xml:space="preserve">Open Office – W</t>
  </si>
  <si>
    <t xml:space="preserve">VAV-301</t>
  </si>
  <si>
    <t xml:space="preserve">VAV – Elec Reheat</t>
  </si>
  <si>
    <t xml:space="preserve">Perimeter – N</t>
  </si>
  <si>
    <t xml:space="preserve">Elec Coil</t>
  </si>
  <si>
    <t xml:space="preserve">VAV-302</t>
  </si>
  <si>
    <t xml:space="preserve">Perimeter – S</t>
  </si>
  <si>
    <t xml:space="preserve">CAV-1</t>
  </si>
  <si>
    <t xml:space="preserve">CAV Box</t>
  </si>
  <si>
    <t xml:space="preserve">Server Room</t>
  </si>
  <si>
    <t xml:space="preserve">Constant</t>
  </si>
  <si>
    <t xml:space="preserve">CAV-2</t>
  </si>
  <si>
    <t xml:space="preserve">Elec Room</t>
  </si>
  <si>
    <t xml:space="preserve">FPB-1</t>
  </si>
  <si>
    <t xml:space="preserve">Fan Powered – Parallel</t>
  </si>
  <si>
    <t xml:space="preserve">Lobby</t>
  </si>
  <si>
    <t xml:space="preserve">FPB-2</t>
  </si>
  <si>
    <t xml:space="preserve">Reception</t>
  </si>
  <si>
    <t xml:space="preserve">FPB-3</t>
  </si>
  <si>
    <t xml:space="preserve">Fan Powered – Series</t>
  </si>
  <si>
    <t xml:space="preserve">Perim Zone A</t>
  </si>
  <si>
    <t xml:space="preserve">FCU-101</t>
  </si>
  <si>
    <t xml:space="preserve">Fan Coil Unit – 2-pipe</t>
  </si>
  <si>
    <t xml:space="preserve">HW/CW</t>
  </si>
  <si>
    <t xml:space="preserve">Manual</t>
  </si>
  <si>
    <t xml:space="preserve">Analog</t>
  </si>
  <si>
    <t xml:space="preserve">FCU-102</t>
  </si>
  <si>
    <t xml:space="preserve">Fan Coil Unit – 4-pipe</t>
  </si>
  <si>
    <t xml:space="preserve">HW+CW</t>
  </si>
  <si>
    <t xml:space="preserve">UV-1</t>
  </si>
  <si>
    <t xml:space="preserve">Unit Ventilator</t>
  </si>
  <si>
    <t xml:space="preserve">DP-1</t>
  </si>
  <si>
    <t xml:space="preserve">Dual Path Terminal</t>
  </si>
  <si>
    <t xml:space="preserve">MS-1</t>
  </si>
  <si>
    <t xml:space="preserve">Mini-Split – Indoor</t>
  </si>
  <si>
    <t xml:space="preserve">IT Closet</t>
  </si>
  <si>
    <t xml:space="preserve">DX</t>
  </si>
  <si>
    <t xml:space="preserve">Remote</t>
  </si>
  <si>
    <t xml:space="preserve">IR</t>
  </si>
  <si>
    <t xml:space="preserve">TOTAL TERMINAL UNITS: 20</t>
  </si>
  <si>
    <t xml:space="preserve">  📊  TERMINAL UNIT SUMMARY</t>
  </si>
  <si>
    <t xml:space="preserve">Total Terminal Units:</t>
  </si>
  <si>
    <t xml:space="preserve">Cooling-Only VAV:</t>
  </si>
  <si>
    <t xml:space="preserve">HW Reheat VAV:</t>
  </si>
  <si>
    <t xml:space="preserve">Fan-Powered Units:</t>
  </si>
  <si>
    <t xml:space="preserve">Total Design Max CFM:</t>
  </si>
  <si>
    <t xml:space="preserve">Total Design Min CFM:</t>
  </si>
  <si>
    <t xml:space="preserve">  ⚡  MECHANICAL ELECTRICAL LOAD SCHEDULE</t>
  </si>
  <si>
    <t xml:space="preserve">MCA (A)</t>
  </si>
  <si>
    <t xml:space="preserve">MOCP (A)</t>
  </si>
  <si>
    <t xml:space="preserve">FLA</t>
  </si>
  <si>
    <t xml:space="preserve">RLA</t>
  </si>
  <si>
    <t xml:space="preserve">LRA</t>
  </si>
  <si>
    <t xml:space="preserve">Panel / MCC</t>
  </si>
  <si>
    <t xml:space="preserve">Circuit #</t>
  </si>
  <si>
    <t xml:space="preserve">460</t>
  </si>
  <si>
    <t xml:space="preserve">3</t>
  </si>
  <si>
    <t xml:space="preserve">60</t>
  </si>
  <si>
    <t xml:space="preserve">MCC-1</t>
  </si>
  <si>
    <t xml:space="preserve">MCC-2</t>
  </si>
  <si>
    <t xml:space="preserve">Panel R1</t>
  </si>
  <si>
    <t xml:space="preserve">Roof – Zone C</t>
  </si>
  <si>
    <t xml:space="preserve">Panel R2</t>
  </si>
  <si>
    <t xml:space="preserve">Roof – Zone D</t>
  </si>
  <si>
    <t xml:space="preserve">Cooling Tower Fan</t>
  </si>
  <si>
    <t xml:space="preserve">Panel CT</t>
  </si>
  <si>
    <t xml:space="preserve">MCC-3</t>
  </si>
  <si>
    <t xml:space="preserve">Gas Boiler – Controls</t>
  </si>
  <si>
    <t xml:space="preserve">120</t>
  </si>
  <si>
    <t xml:space="preserve">Panel B</t>
  </si>
  <si>
    <t xml:space="preserve">Gas – controls only</t>
  </si>
  <si>
    <t xml:space="preserve">Exhaust Fan – Restrooms L1</t>
  </si>
  <si>
    <t xml:space="preserve">208</t>
  </si>
  <si>
    <t xml:space="preserve">Panel E1</t>
  </si>
  <si>
    <t xml:space="preserve">Exhaust Fan – Kitchen</t>
  </si>
  <si>
    <t xml:space="preserve">Parking Fan – L1</t>
  </si>
  <si>
    <t xml:space="preserve">Garage</t>
  </si>
  <si>
    <t xml:space="preserve">Panel G1</t>
  </si>
  <si>
    <t xml:space="preserve">TOTAL ELECTRICAL LOADS: 20</t>
  </si>
  <si>
    <t xml:space="preserve">  📊  ELECTRICAL SUMMARY</t>
  </si>
  <si>
    <t xml:space="preserve">Total Equipment Items:</t>
  </si>
  <si>
    <t xml:space="preserve">VFD-Controlled Equipment:</t>
  </si>
  <si>
    <t xml:space="preserve">460V / 3-Phase Units:</t>
  </si>
  <si>
    <t xml:space="preserve">208V / Single-Phase Units:</t>
  </si>
  <si>
    <t xml:space="preserve">Total MCA (A):</t>
  </si>
  <si>
    <t xml:space="preserve">Total MOCP (A):</t>
  </si>
  <si>
    <t xml:space="preserve">  🖥️  BUILDING AUTOMATION &amp; CONTROLS SCHEDULE</t>
  </si>
  <si>
    <t xml:space="preserve">Device Type</t>
  </si>
  <si>
    <t xml:space="preserve">Serving Equipment</t>
  </si>
  <si>
    <t xml:space="preserve">Protocol</t>
  </si>
  <si>
    <t xml:space="preserve">I/O Type</t>
  </si>
  <si>
    <t xml:space="preserve">Signal Range</t>
  </si>
  <si>
    <t xml:space="preserve">Setpoint</t>
  </si>
  <si>
    <t xml:space="preserve">Deadband</t>
  </si>
  <si>
    <t xml:space="preserve">Cal. Interval</t>
  </si>
  <si>
    <t xml:space="preserve">Cal. Date</t>
  </si>
  <si>
    <t xml:space="preserve">Controller</t>
  </si>
  <si>
    <t xml:space="preserve">Panel / DDC</t>
  </si>
  <si>
    <t xml:space="preserve">Loop #</t>
  </si>
  <si>
    <t xml:space="preserve">Sequence Ref.</t>
  </si>
  <si>
    <t xml:space="preserve">Sequence Ver.</t>
  </si>
  <si>
    <t xml:space="preserve">SAT-1</t>
  </si>
  <si>
    <t xml:space="preserve">Supply Air Temp Sensor</t>
  </si>
  <si>
    <t xml:space="preserve">AHU-1 Discharge</t>
  </si>
  <si>
    <t xml:space="preserve">BACnet MSTP</t>
  </si>
  <si>
    <t xml:space="preserve">4-20mA</t>
  </si>
  <si>
    <t xml:space="preserve">0–150°F</t>
  </si>
  <si>
    <t xml:space="preserve">55°F</t>
  </si>
  <si>
    <t xml:space="preserve">±2°F</t>
  </si>
  <si>
    <t xml:space="preserve">Annual</t>
  </si>
  <si>
    <t xml:space="preserve">DDC-AHU1</t>
  </si>
  <si>
    <t xml:space="preserve">Panel MCP-1</t>
  </si>
  <si>
    <t xml:space="preserve">L-1</t>
  </si>
  <si>
    <t xml:space="preserve">SEQ-AHU-01</t>
  </si>
  <si>
    <t xml:space="preserve">Rev C</t>
  </si>
  <si>
    <t xml:space="preserve">RAT-1</t>
  </si>
  <si>
    <t xml:space="preserve">Return Air Temp Sensor</t>
  </si>
  <si>
    <t xml:space="preserve">AHU-1 Return</t>
  </si>
  <si>
    <t xml:space="preserve">75°F</t>
  </si>
  <si>
    <t xml:space="preserve">OAT-1</t>
  </si>
  <si>
    <t xml:space="preserve">Outside Air Temp Sensor</t>
  </si>
  <si>
    <t xml:space="preserve">RTU-1 OA Intake</t>
  </si>
  <si>
    <t xml:space="preserve">-40–120°F</t>
  </si>
  <si>
    <t xml:space="preserve">DDC-RTU1</t>
  </si>
  <si>
    <t xml:space="preserve">Panel MCP-2</t>
  </si>
  <si>
    <t xml:space="preserve">L-2</t>
  </si>
  <si>
    <t xml:space="preserve">SEQ-RTU-01</t>
  </si>
  <si>
    <t xml:space="preserve">Rev B</t>
  </si>
  <si>
    <t xml:space="preserve">MAT-1</t>
  </si>
  <si>
    <t xml:space="preserve">Mixed Air Temp Sensor</t>
  </si>
  <si>
    <t xml:space="preserve">AHU-1 Mix Box</t>
  </si>
  <si>
    <t xml:space="preserve">30–130°F</t>
  </si>
  <si>
    <t xml:space="preserve">L-3</t>
  </si>
  <si>
    <t xml:space="preserve">HC-101</t>
  </si>
  <si>
    <t xml:space="preserve">Humidity Sensor – Room</t>
  </si>
  <si>
    <t xml:space="preserve">Office Open East</t>
  </si>
  <si>
    <t xml:space="preserve">BACnet IP</t>
  </si>
  <si>
    <t xml:space="preserve">0–100% RH</t>
  </si>
  <si>
    <t xml:space="preserve">50%</t>
  </si>
  <si>
    <t xml:space="preserve">±5% RH</t>
  </si>
  <si>
    <t xml:space="preserve">DDC-FLR2</t>
  </si>
  <si>
    <t xml:space="preserve">Panel MCP-3</t>
  </si>
  <si>
    <t xml:space="preserve">L-4</t>
  </si>
  <si>
    <t xml:space="preserve">SEQ-VAV-01</t>
  </si>
  <si>
    <t xml:space="preserve">Rev A</t>
  </si>
  <si>
    <t xml:space="preserve">SP-101</t>
  </si>
  <si>
    <t xml:space="preserve">Duct Static Pressure</t>
  </si>
  <si>
    <t xml:space="preserve">AHU-1 Supply</t>
  </si>
  <si>
    <t xml:space="preserve">0–2.5 in.wg</t>
  </si>
  <si>
    <t xml:space="preserve">1.2 in.wg</t>
  </si>
  <si>
    <t xml:space="preserve">±0.05</t>
  </si>
  <si>
    <t xml:space="preserve">L-5</t>
  </si>
  <si>
    <t xml:space="preserve">SP-102</t>
  </si>
  <si>
    <t xml:space="preserve">AHU-2 Supply</t>
  </si>
  <si>
    <t xml:space="preserve">1.0 in.wg</t>
  </si>
  <si>
    <t xml:space="preserve">DDC-AHU2</t>
  </si>
  <si>
    <t xml:space="preserve">SEQ-AHU-02</t>
  </si>
  <si>
    <t xml:space="preserve">DP-101</t>
  </si>
  <si>
    <t xml:space="preserve">Diff Pressure – Filter</t>
  </si>
  <si>
    <t xml:space="preserve">AHU-1 Filter Bank</t>
  </si>
  <si>
    <t xml:space="preserve">0–1.0 in.wg</t>
  </si>
  <si>
    <t xml:space="preserve">0.8 in.wg</t>
  </si>
  <si>
    <t xml:space="preserve">L-6</t>
  </si>
  <si>
    <t xml:space="preserve">CO2-101</t>
  </si>
  <si>
    <t xml:space="preserve">CO₂ Sensor – Room</t>
  </si>
  <si>
    <t xml:space="preserve">0–2000 ppm</t>
  </si>
  <si>
    <t xml:space="preserve">1000 ppm</t>
  </si>
  <si>
    <t xml:space="preserve">±50 ppm</t>
  </si>
  <si>
    <t xml:space="preserve">DDC-FLR1</t>
  </si>
  <si>
    <t xml:space="preserve">L-7</t>
  </si>
  <si>
    <t xml:space="preserve">SEQ-DCV-01</t>
  </si>
  <si>
    <t xml:space="preserve">DCV</t>
  </si>
  <si>
    <t xml:space="preserve">CO2-102</t>
  </si>
  <si>
    <t xml:space="preserve">Open Office East</t>
  </si>
  <si>
    <t xml:space="preserve">WF-101</t>
  </si>
  <si>
    <t xml:space="preserve">Chilled Water Flow Meter</t>
  </si>
  <si>
    <t xml:space="preserve">CW Header</t>
  </si>
  <si>
    <t xml:space="preserve">0–500 GPM</t>
  </si>
  <si>
    <t xml:space="preserve">DDC-PLANT</t>
  </si>
  <si>
    <t xml:space="preserve">Panel MCP-4</t>
  </si>
  <si>
    <t xml:space="preserve">L-8</t>
  </si>
  <si>
    <t xml:space="preserve">SEQ-CHW-01</t>
  </si>
  <si>
    <t xml:space="preserve">BTU-1</t>
  </si>
  <si>
    <t xml:space="preserve">BTU / Energy Meter</t>
  </si>
  <si>
    <t xml:space="preserve">MBH / kWh</t>
  </si>
  <si>
    <t xml:space="preserve">L-9</t>
  </si>
  <si>
    <t xml:space="preserve">VFD-101</t>
  </si>
  <si>
    <t xml:space="preserve">VFD – AHU-1 Supply Fan</t>
  </si>
  <si>
    <t xml:space="preserve">0–60 Hz</t>
  </si>
  <si>
    <t xml:space="preserve">Auto</t>
  </si>
  <si>
    <t xml:space="preserve">L-10</t>
  </si>
  <si>
    <t xml:space="preserve">VFD-P1</t>
  </si>
  <si>
    <t xml:space="preserve">VFD – CW Pump Primary</t>
  </si>
  <si>
    <t xml:space="preserve">L-11</t>
  </si>
  <si>
    <t xml:space="preserve">DMP-101</t>
  </si>
  <si>
    <t xml:space="preserve">Economizer Damper Act.</t>
  </si>
  <si>
    <t xml:space="preserve">AHU-1 OA Damper</t>
  </si>
  <si>
    <t xml:space="preserve">0-10V</t>
  </si>
  <si>
    <t xml:space="preserve">0–100%</t>
  </si>
  <si>
    <t xml:space="preserve">L-12</t>
  </si>
  <si>
    <t xml:space="preserve">FSD-101</t>
  </si>
  <si>
    <t xml:space="preserve">Fire/Smoke Damper</t>
  </si>
  <si>
    <t xml:space="preserve">AHU-1 Supply Duct</t>
  </si>
  <si>
    <t xml:space="preserve">Hardwired</t>
  </si>
  <si>
    <t xml:space="preserve">24VDC</t>
  </si>
  <si>
    <t xml:space="preserve">Open/Closed</t>
  </si>
  <si>
    <t xml:space="preserve">Open</t>
  </si>
  <si>
    <t xml:space="preserve">Fire Panel</t>
  </si>
  <si>
    <t xml:space="preserve">FP-1</t>
  </si>
  <si>
    <t xml:space="preserve">L-13</t>
  </si>
  <si>
    <t xml:space="preserve">SEQ-FSD-01</t>
  </si>
  <si>
    <t xml:space="preserve">NFPA 90A</t>
  </si>
  <si>
    <t xml:space="preserve">FSD-102</t>
  </si>
  <si>
    <t xml:space="preserve">AHU-2 Supply Duct</t>
  </si>
  <si>
    <t xml:space="preserve">TC-101</t>
  </si>
  <si>
    <t xml:space="preserve">Room Thermostat</t>
  </si>
  <si>
    <t xml:space="preserve">VAV-101 Office 101</t>
  </si>
  <si>
    <t xml:space="preserve">55–90°F</t>
  </si>
  <si>
    <t xml:space="preserve">72°F</t>
  </si>
  <si>
    <t xml:space="preserve">±1°F</t>
  </si>
  <si>
    <t xml:space="preserve">Biannual</t>
  </si>
  <si>
    <t xml:space="preserve">DDC-VAV101</t>
  </si>
  <si>
    <t xml:space="preserve">Panel MCP-5</t>
  </si>
  <si>
    <t xml:space="preserve">L-14</t>
  </si>
  <si>
    <t xml:space="preserve">TC-103</t>
  </si>
  <si>
    <t xml:space="preserve">VAV-103 Conf A</t>
  </si>
  <si>
    <t xml:space="preserve">70°F</t>
  </si>
  <si>
    <t xml:space="preserve">DDC-VAV103</t>
  </si>
  <si>
    <t xml:space="preserve">OCC-1</t>
  </si>
  <si>
    <t xml:space="preserve">Occupancy Sensor</t>
  </si>
  <si>
    <t xml:space="preserve">Open Office – East</t>
  </si>
  <si>
    <t xml:space="preserve">Occ/Unocc</t>
  </si>
  <si>
    <t xml:space="preserve">L-15</t>
  </si>
  <si>
    <t xml:space="preserve">SEQ-OCC-01</t>
  </si>
  <si>
    <t xml:space="preserve">TOTAL CONTROL DEVICES: 20</t>
  </si>
  <si>
    <t xml:space="preserve">  📊  CONTROLS SUMMARY</t>
  </si>
  <si>
    <t xml:space="preserve">Total Control Devices:</t>
  </si>
  <si>
    <t xml:space="preserve">BACnet IP Devices:</t>
  </si>
  <si>
    <t xml:space="preserve">BACnet MSTP Devices:</t>
  </si>
  <si>
    <t xml:space="preserve">Hardwired Devices:</t>
  </si>
  <si>
    <t xml:space="preserve">DI / Digital Inputs:</t>
  </si>
  <si>
    <t xml:space="preserve">AI / Analog Inputs (4-20mA):</t>
  </si>
  <si>
    <t xml:space="preserve">HVAC EQUIPMENT SCHEDULE — MASTER SUMMARY</t>
  </si>
  <si>
    <t xml:space="preserve">  📊  EQUIPMENT COUNT BY CATEGORY</t>
  </si>
  <si>
    <t xml:space="preserve">Category</t>
  </si>
  <si>
    <t xml:space="preserve"># Units</t>
  </si>
  <si>
    <t xml:space="preserve">Design Cap. (Unit)</t>
  </si>
  <si>
    <t xml:space="preserve">Total Design Cap.</t>
  </si>
  <si>
    <t xml:space="preserve">Air Handling Units (AHU/MAU/DOAS)</t>
  </si>
  <si>
    <t xml:space="preserve">6</t>
  </si>
  <si>
    <t xml:space="preserve">Var. CFM</t>
  </si>
  <si>
    <t xml:space="preserve">See AHU Schedule</t>
  </si>
  <si>
    <t xml:space="preserve">Rooftop Units (RTU)</t>
  </si>
  <si>
    <t xml:space="preserve">8</t>
  </si>
  <si>
    <t xml:space="preserve">Var. Tons</t>
  </si>
  <si>
    <t xml:space="preserve">See RTU Schedule</t>
  </si>
  <si>
    <t xml:space="preserve">Water Source Heat Pumps (WSHP)</t>
  </si>
  <si>
    <t xml:space="preserve">Chillers (Air &amp; Water Cooled)</t>
  </si>
  <si>
    <t xml:space="preserve">See Chiller Schedule</t>
  </si>
  <si>
    <t xml:space="preserve">Cooling Towers</t>
  </si>
  <si>
    <t xml:space="preserve">Condensing Units / VRF</t>
  </si>
  <si>
    <t xml:space="preserve">Gas-Fired Boilers</t>
  </si>
  <si>
    <t xml:space="preserve">Var. MBH</t>
  </si>
  <si>
    <t xml:space="preserve">120/1/60 (ctrl)</t>
  </si>
  <si>
    <t xml:space="preserve">See Boiler Schedule</t>
  </si>
  <si>
    <t xml:space="preserve">Hot Water Heaters</t>
  </si>
  <si>
    <t xml:space="preserve">Var.</t>
  </si>
  <si>
    <t xml:space="preserve">Hydronic Pumps</t>
  </si>
  <si>
    <t xml:space="preserve">Var. GPM</t>
  </si>
  <si>
    <t xml:space="preserve">Heat Exchangers</t>
  </si>
  <si>
    <t xml:space="preserve">Exhaust / Ventilation Fans</t>
  </si>
  <si>
    <t xml:space="preserve">15</t>
  </si>
  <si>
    <t xml:space="preserve">See Fan Schedule</t>
  </si>
  <si>
    <t xml:space="preserve">VAV / Terminal Units</t>
  </si>
  <si>
    <t xml:space="preserve">20</t>
  </si>
  <si>
    <t xml:space="preserve">24VAC (ctrl)</t>
  </si>
  <si>
    <t xml:space="preserve">See Terminal Schedule</t>
  </si>
  <si>
    <t xml:space="preserve">BAS / Control Devices</t>
  </si>
  <si>
    <t xml:space="preserve">24VDC/120VAC</t>
  </si>
  <si>
    <t xml:space="preserve">See Controls Schedule</t>
  </si>
  <si>
    <t xml:space="preserve">VFDs</t>
  </si>
  <si>
    <t xml:space="preserve">Var. HP</t>
  </si>
  <si>
    <t xml:space="preserve">Distributed per equip</t>
  </si>
  <si>
    <t xml:space="preserve">GRAND TOTAL SCHEDULE ITEMS — SEE INDIVIDUAL SCHEDULE SHEETS</t>
  </si>
  <si>
    <t xml:space="preserve">  📐  PROJECT-LEVEL DESIGN PARAMETERS</t>
  </si>
  <si>
    <t xml:space="preserve">Total Installed Cooling (Tons):</t>
  </si>
  <si>
    <t xml:space="preserve">Total Installed Heating (MBH):</t>
  </si>
  <si>
    <t xml:space="preserve">Total Supply CFM (All Systems):</t>
  </si>
  <si>
    <t xml:space="preserve">Total OA CFM (All Systems):</t>
  </si>
  <si>
    <t xml:space="preserve">Total Connected Electrical Load (kW):</t>
  </si>
  <si>
    <t xml:space="preserve">Total Estimated Peak Demand (kW):</t>
  </si>
  <si>
    <t xml:space="preserve">Project EER / COP (Weighted Avg.):</t>
  </si>
  <si>
    <t xml:space="preserve">ASHRAE 90.1 Compliance Version:</t>
  </si>
  <si>
    <t xml:space="preserve">Design Dry Bulb – Summer (°F):</t>
  </si>
  <si>
    <t xml:space="preserve">Design Wet Bulb – Summer (°F):</t>
  </si>
  <si>
    <t xml:space="preserve">Design Dry Bulb – Winter (°F):</t>
  </si>
  <si>
    <t xml:space="preserve">Design Indoor Conditions (°F / %RH):</t>
  </si>
  <si>
    <t xml:space="preserve">  ✅  CERTIFICATION &amp; FINAL SIGN-OFF</t>
  </si>
  <si>
    <t xml:space="preserve">HVAC Contractor:</t>
  </si>
  <si>
    <t xml:space="preserve">License #:</t>
  </si>
  <si>
    <t xml:space="preserve">Owner / Rep.:</t>
  </si>
  <si>
    <t xml:space="preserve">Commissioning Agent:</t>
  </si>
  <si>
    <t xml:space="preserve">CxA Cert #: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</si>
</sst>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2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8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4" min="10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7.5" hidden="false" customHeight="true" outlineLevel="0" collapsed="false"/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true" outlineLevel="0" collapsed="false">
      <c r="A6" s="5" t="s">
        <v>4</v>
      </c>
      <c r="B6" s="6"/>
      <c r="C6" s="6"/>
      <c r="D6" s="6"/>
      <c r="E6" s="6"/>
      <c r="F6" s="6"/>
      <c r="G6" s="5" t="s">
        <v>5</v>
      </c>
      <c r="H6" s="6"/>
      <c r="I6" s="6"/>
      <c r="J6" s="6"/>
      <c r="K6" s="6"/>
      <c r="L6" s="6"/>
      <c r="M6" s="6"/>
      <c r="N6" s="6"/>
    </row>
    <row r="7" customFormat="false" ht="15" hidden="false" customHeight="true" outlineLevel="0" collapsed="false">
      <c r="A7" s="5" t="s">
        <v>6</v>
      </c>
      <c r="B7" s="6"/>
      <c r="C7" s="6"/>
      <c r="D7" s="6"/>
      <c r="E7" s="6"/>
      <c r="F7" s="6"/>
      <c r="G7" s="5" t="s">
        <v>7</v>
      </c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5" t="s">
        <v>8</v>
      </c>
      <c r="B8" s="6"/>
      <c r="C8" s="6"/>
      <c r="D8" s="6"/>
      <c r="E8" s="6"/>
      <c r="F8" s="6"/>
      <c r="G8" s="5" t="s">
        <v>9</v>
      </c>
      <c r="H8" s="6"/>
      <c r="I8" s="6"/>
      <c r="J8" s="6"/>
      <c r="K8" s="6"/>
      <c r="L8" s="6"/>
      <c r="M8" s="6"/>
      <c r="N8" s="6"/>
    </row>
    <row r="9" customFormat="false" ht="15" hidden="false" customHeight="true" outlineLevel="0" collapsed="false">
      <c r="A9" s="5" t="s">
        <v>10</v>
      </c>
      <c r="B9" s="6"/>
      <c r="C9" s="6"/>
      <c r="D9" s="6"/>
      <c r="E9" s="6"/>
      <c r="F9" s="6"/>
      <c r="G9" s="5" t="s">
        <v>11</v>
      </c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5" t="s">
        <v>12</v>
      </c>
      <c r="B10" s="6"/>
      <c r="C10" s="6"/>
      <c r="D10" s="6"/>
      <c r="E10" s="6"/>
      <c r="F10" s="6"/>
      <c r="G10" s="5" t="s">
        <v>13</v>
      </c>
      <c r="H10" s="6"/>
      <c r="I10" s="6"/>
      <c r="J10" s="6"/>
      <c r="K10" s="6"/>
      <c r="L10" s="6"/>
      <c r="M10" s="6"/>
      <c r="N10" s="6"/>
    </row>
    <row r="11" customFormat="false" ht="15" hidden="false" customHeight="true" outlineLevel="0" collapsed="false">
      <c r="A11" s="5" t="s">
        <v>14</v>
      </c>
      <c r="B11" s="6"/>
      <c r="C11" s="6"/>
      <c r="D11" s="6"/>
      <c r="E11" s="6"/>
      <c r="F11" s="6"/>
      <c r="G11" s="5" t="s">
        <v>15</v>
      </c>
      <c r="H11" s="6"/>
      <c r="I11" s="6"/>
      <c r="J11" s="6"/>
      <c r="K11" s="6"/>
      <c r="L11" s="6"/>
      <c r="M11" s="6"/>
      <c r="N11" s="6"/>
    </row>
    <row r="13" customFormat="false" ht="19.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9.5" hidden="false" customHeight="true" outlineLevel="0" collapsed="false">
      <c r="A14" s="7" t="s">
        <v>17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9.5" hidden="false" customHeight="true" outlineLevel="0" collapsed="false">
      <c r="A15" s="8" t="s">
        <v>18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9.5" hidden="false" customHeight="true" outlineLevel="0" collapsed="false">
      <c r="A16" s="7" t="s">
        <v>19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9.5" hidden="false" customHeight="true" outlineLevel="0" collapsed="false">
      <c r="A17" s="8" t="s">
        <v>20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9.5" hidden="false" customHeight="true" outlineLevel="0" collapsed="false">
      <c r="A18" s="7" t="s">
        <v>21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9.5" hidden="false" customHeight="true" outlineLevel="0" collapsed="false">
      <c r="A19" s="8" t="s">
        <v>22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1" customFormat="false" ht="19.5" hidden="false" customHeight="true" outlineLevel="0" collapsed="false">
      <c r="A21" s="4" t="s">
        <v>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.75" hidden="false" customHeight="true" outlineLevel="0" collapsed="false">
      <c r="A22" s="5" t="s">
        <v>11</v>
      </c>
      <c r="B22" s="6"/>
      <c r="C22" s="6"/>
      <c r="D22" s="6"/>
      <c r="E22" s="6"/>
      <c r="F22" s="6"/>
      <c r="G22" s="5" t="s">
        <v>24</v>
      </c>
      <c r="H22" s="6"/>
      <c r="I22" s="6"/>
      <c r="J22" s="6"/>
      <c r="K22" s="6"/>
      <c r="L22" s="6"/>
      <c r="M22" s="6"/>
      <c r="N22" s="6"/>
    </row>
    <row r="23" customFormat="false" ht="15.75" hidden="false" customHeight="true" outlineLevel="0" collapsed="false">
      <c r="A23" s="5" t="s">
        <v>15</v>
      </c>
      <c r="B23" s="6"/>
      <c r="C23" s="6"/>
      <c r="D23" s="6"/>
      <c r="E23" s="6"/>
      <c r="F23" s="6"/>
      <c r="G23" s="5" t="s">
        <v>24</v>
      </c>
      <c r="H23" s="6"/>
      <c r="I23" s="6"/>
      <c r="J23" s="6"/>
      <c r="K23" s="6"/>
      <c r="L23" s="6"/>
      <c r="M23" s="6"/>
      <c r="N23" s="6"/>
    </row>
    <row r="24" customFormat="false" ht="15.75" hidden="false" customHeight="true" outlineLevel="0" collapsed="false">
      <c r="A24" s="5" t="s">
        <v>25</v>
      </c>
      <c r="B24" s="6"/>
      <c r="C24" s="6"/>
      <c r="D24" s="6"/>
      <c r="E24" s="6"/>
      <c r="F24" s="6"/>
      <c r="G24" s="5" t="s">
        <v>26</v>
      </c>
      <c r="H24" s="6"/>
      <c r="I24" s="6"/>
      <c r="J24" s="6"/>
      <c r="K24" s="6"/>
      <c r="L24" s="6"/>
      <c r="M24" s="6"/>
      <c r="N24" s="6"/>
    </row>
    <row r="25" customFormat="false" ht="15.75" hidden="false" customHeight="true" outlineLevel="0" collapsed="false">
      <c r="A25" s="5" t="s">
        <v>27</v>
      </c>
      <c r="B25" s="6"/>
      <c r="C25" s="6"/>
      <c r="D25" s="6"/>
      <c r="E25" s="6"/>
      <c r="F25" s="6"/>
      <c r="G25" s="5" t="s">
        <v>28</v>
      </c>
      <c r="H25" s="6"/>
      <c r="I25" s="6"/>
      <c r="J25" s="6"/>
      <c r="K25" s="6"/>
      <c r="L25" s="6"/>
      <c r="M25" s="6"/>
      <c r="N25" s="6"/>
    </row>
    <row r="27" customFormat="false" ht="4.5" hidden="false" customHeight="true" outlineLevel="0" collapsed="false"/>
    <row r="28" customFormat="false" ht="13.5" hidden="false" customHeight="true" outlineLevel="0" collapsed="false">
      <c r="A28" s="9" t="s">
        <v>29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</sheetData>
  <mergeCells count="33">
    <mergeCell ref="A1:G1"/>
    <mergeCell ref="H1:N1"/>
    <mergeCell ref="A3:N3"/>
    <mergeCell ref="A5:N5"/>
    <mergeCell ref="B6:F6"/>
    <mergeCell ref="H6:N6"/>
    <mergeCell ref="B7:F7"/>
    <mergeCell ref="H7:N7"/>
    <mergeCell ref="B8:F8"/>
    <mergeCell ref="H8:N8"/>
    <mergeCell ref="B9:F9"/>
    <mergeCell ref="H9:N9"/>
    <mergeCell ref="B10:F10"/>
    <mergeCell ref="H10:N10"/>
    <mergeCell ref="B11:F11"/>
    <mergeCell ref="H11:N11"/>
    <mergeCell ref="A13:N13"/>
    <mergeCell ref="A14:N14"/>
    <mergeCell ref="A15:N15"/>
    <mergeCell ref="A16:N16"/>
    <mergeCell ref="A17:N17"/>
    <mergeCell ref="A18:N18"/>
    <mergeCell ref="A19:N19"/>
    <mergeCell ref="A21:N21"/>
    <mergeCell ref="B22:F22"/>
    <mergeCell ref="H22:N22"/>
    <mergeCell ref="B23:F23"/>
    <mergeCell ref="H23:N23"/>
    <mergeCell ref="B24:F24"/>
    <mergeCell ref="H24:N24"/>
    <mergeCell ref="B25:F25"/>
    <mergeCell ref="H25:N25"/>
    <mergeCell ref="A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8" hidden="false" customHeight="true" outlineLevel="0" collapsed="false">
      <c r="A3" s="10" t="s">
        <v>31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27.75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11" t="s">
        <v>45</v>
      </c>
      <c r="O4" s="11" t="s">
        <v>46</v>
      </c>
      <c r="P4" s="11" t="s">
        <v>47</v>
      </c>
    </row>
    <row r="5" customFormat="false" ht="15" hidden="false" customHeight="true" outlineLevel="0" collapsed="false">
      <c r="A5" s="6" t="s">
        <v>48</v>
      </c>
      <c r="B5" s="12" t="s">
        <v>49</v>
      </c>
      <c r="C5" s="12" t="s">
        <v>50</v>
      </c>
      <c r="D5" s="12"/>
      <c r="E5" s="12"/>
      <c r="F5" s="12"/>
      <c r="G5" s="12"/>
      <c r="H5" s="12"/>
      <c r="I5" s="12"/>
      <c r="J5" s="12"/>
      <c r="K5" s="12" t="s">
        <v>51</v>
      </c>
      <c r="L5" s="12" t="s">
        <v>52</v>
      </c>
      <c r="M5" s="12" t="s">
        <v>53</v>
      </c>
      <c r="N5" s="12" t="s">
        <v>54</v>
      </c>
      <c r="O5" s="12" t="s">
        <v>55</v>
      </c>
      <c r="P5" s="12"/>
    </row>
    <row r="6" customFormat="false" ht="15" hidden="false" customHeight="true" outlineLevel="0" collapsed="false">
      <c r="A6" s="13" t="s">
        <v>56</v>
      </c>
      <c r="B6" s="14" t="s">
        <v>49</v>
      </c>
      <c r="C6" s="14" t="s">
        <v>57</v>
      </c>
      <c r="D6" s="14"/>
      <c r="E6" s="14"/>
      <c r="F6" s="14"/>
      <c r="G6" s="14"/>
      <c r="H6" s="14"/>
      <c r="I6" s="14"/>
      <c r="J6" s="14"/>
      <c r="K6" s="14" t="s">
        <v>51</v>
      </c>
      <c r="L6" s="14" t="s">
        <v>52</v>
      </c>
      <c r="M6" s="14" t="s">
        <v>58</v>
      </c>
      <c r="N6" s="14" t="s">
        <v>59</v>
      </c>
      <c r="O6" s="14" t="s">
        <v>55</v>
      </c>
      <c r="P6" s="14"/>
    </row>
    <row r="7" customFormat="false" ht="15" hidden="false" customHeight="true" outlineLevel="0" collapsed="false">
      <c r="A7" s="6" t="s">
        <v>60</v>
      </c>
      <c r="B7" s="12" t="s">
        <v>49</v>
      </c>
      <c r="C7" s="12" t="s">
        <v>61</v>
      </c>
      <c r="D7" s="12"/>
      <c r="E7" s="12"/>
      <c r="F7" s="12"/>
      <c r="G7" s="12"/>
      <c r="H7" s="12"/>
      <c r="I7" s="12"/>
      <c r="J7" s="12"/>
      <c r="K7" s="12" t="s">
        <v>62</v>
      </c>
      <c r="L7" s="12" t="s">
        <v>63</v>
      </c>
      <c r="M7" s="12" t="s">
        <v>64</v>
      </c>
      <c r="N7" s="12" t="s">
        <v>65</v>
      </c>
      <c r="O7" s="12" t="s">
        <v>66</v>
      </c>
      <c r="P7" s="12"/>
    </row>
    <row r="8" customFormat="false" ht="15" hidden="false" customHeight="true" outlineLevel="0" collapsed="false">
      <c r="A8" s="13" t="s">
        <v>67</v>
      </c>
      <c r="B8" s="14" t="s">
        <v>68</v>
      </c>
      <c r="C8" s="14" t="s">
        <v>69</v>
      </c>
      <c r="D8" s="14"/>
      <c r="E8" s="14"/>
      <c r="F8" s="14"/>
      <c r="G8" s="14"/>
      <c r="H8" s="14"/>
      <c r="I8" s="14"/>
      <c r="J8" s="14"/>
      <c r="K8" s="14" t="s">
        <v>51</v>
      </c>
      <c r="L8" s="14" t="s">
        <v>52</v>
      </c>
      <c r="M8" s="14" t="s">
        <v>58</v>
      </c>
      <c r="N8" s="14" t="s">
        <v>54</v>
      </c>
      <c r="O8" s="14" t="s">
        <v>55</v>
      </c>
      <c r="P8" s="14"/>
    </row>
    <row r="9" customFormat="false" ht="15" hidden="false" customHeight="true" outlineLevel="0" collapsed="false">
      <c r="A9" s="6" t="s">
        <v>70</v>
      </c>
      <c r="B9" s="12" t="s">
        <v>71</v>
      </c>
      <c r="C9" s="12" t="s">
        <v>72</v>
      </c>
      <c r="D9" s="12"/>
      <c r="E9" s="12"/>
      <c r="F9" s="12"/>
      <c r="G9" s="12"/>
      <c r="H9" s="12"/>
      <c r="I9" s="12"/>
      <c r="J9" s="12"/>
      <c r="K9" s="12" t="s">
        <v>73</v>
      </c>
      <c r="L9" s="12" t="s">
        <v>74</v>
      </c>
      <c r="M9" s="12" t="s">
        <v>64</v>
      </c>
      <c r="N9" s="12" t="s">
        <v>65</v>
      </c>
      <c r="O9" s="12" t="s">
        <v>66</v>
      </c>
      <c r="P9" s="12"/>
    </row>
    <row r="10" customFormat="false" ht="15" hidden="false" customHeight="true" outlineLevel="0" collapsed="false">
      <c r="A10" s="13" t="s">
        <v>75</v>
      </c>
      <c r="B10" s="14" t="s">
        <v>76</v>
      </c>
      <c r="C10" s="14" t="s">
        <v>61</v>
      </c>
      <c r="D10" s="14"/>
      <c r="E10" s="14"/>
      <c r="F10" s="14"/>
      <c r="G10" s="14"/>
      <c r="H10" s="14"/>
      <c r="I10" s="14"/>
      <c r="J10" s="14"/>
      <c r="K10" s="14" t="s">
        <v>51</v>
      </c>
      <c r="L10" s="14" t="s">
        <v>52</v>
      </c>
      <c r="M10" s="14" t="s">
        <v>58</v>
      </c>
      <c r="N10" s="14" t="s">
        <v>54</v>
      </c>
      <c r="O10" s="14" t="s">
        <v>55</v>
      </c>
      <c r="P10" s="14"/>
    </row>
    <row r="12" customFormat="false" ht="18" hidden="false" customHeight="true" outlineLevel="0" collapsed="false">
      <c r="A12" s="10" t="s">
        <v>77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27.75" hidden="false" customHeight="true" outlineLevel="0" collapsed="false">
      <c r="A13" s="11" t="s">
        <v>32</v>
      </c>
      <c r="B13" s="11" t="s">
        <v>78</v>
      </c>
      <c r="C13" s="11" t="s">
        <v>79</v>
      </c>
      <c r="D13" s="11" t="s">
        <v>80</v>
      </c>
      <c r="E13" s="11" t="s">
        <v>81</v>
      </c>
      <c r="F13" s="11" t="s">
        <v>82</v>
      </c>
      <c r="G13" s="11" t="s">
        <v>83</v>
      </c>
      <c r="H13" s="11" t="s">
        <v>84</v>
      </c>
      <c r="I13" s="11" t="s">
        <v>85</v>
      </c>
      <c r="J13" s="11" t="s">
        <v>86</v>
      </c>
      <c r="K13" s="11" t="s">
        <v>87</v>
      </c>
      <c r="L13" s="11" t="s">
        <v>88</v>
      </c>
      <c r="M13" s="11" t="s">
        <v>89</v>
      </c>
      <c r="N13" s="11" t="s">
        <v>90</v>
      </c>
      <c r="O13" s="11" t="s">
        <v>91</v>
      </c>
      <c r="P13" s="11" t="s">
        <v>47</v>
      </c>
    </row>
    <row r="14" customFormat="false" ht="15" hidden="false" customHeight="true" outlineLevel="0" collapsed="false">
      <c r="A14" s="6" t="s">
        <v>48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customFormat="false" ht="15" hidden="false" customHeight="true" outlineLevel="0" collapsed="false">
      <c r="A15" s="13" t="s">
        <v>56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customFormat="false" ht="15" hidden="false" customHeight="true" outlineLevel="0" collapsed="false">
      <c r="A16" s="6" t="s">
        <v>60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customFormat="false" ht="15" hidden="false" customHeight="true" outlineLevel="0" collapsed="false">
      <c r="A17" s="13" t="s">
        <v>67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customFormat="false" ht="15" hidden="false" customHeight="true" outlineLevel="0" collapsed="false">
      <c r="A18" s="6" t="s">
        <v>70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customFormat="false" ht="15" hidden="false" customHeight="true" outlineLevel="0" collapsed="false">
      <c r="A19" s="13" t="s">
        <v>75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1" customFormat="false" ht="18" hidden="false" customHeight="true" outlineLevel="0" collapsed="false">
      <c r="A21" s="10" t="s">
        <v>92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customFormat="false" ht="27.75" hidden="false" customHeight="true" outlineLevel="0" collapsed="false">
      <c r="A22" s="11" t="s">
        <v>32</v>
      </c>
      <c r="B22" s="11" t="s">
        <v>93</v>
      </c>
      <c r="C22" s="11" t="s">
        <v>94</v>
      </c>
      <c r="D22" s="11" t="s">
        <v>95</v>
      </c>
      <c r="E22" s="11" t="s">
        <v>96</v>
      </c>
      <c r="F22" s="11" t="s">
        <v>97</v>
      </c>
      <c r="G22" s="11" t="s">
        <v>98</v>
      </c>
      <c r="H22" s="11" t="s">
        <v>99</v>
      </c>
      <c r="I22" s="11" t="s">
        <v>100</v>
      </c>
      <c r="J22" s="11" t="s">
        <v>101</v>
      </c>
      <c r="K22" s="11" t="s">
        <v>102</v>
      </c>
      <c r="L22" s="11" t="s">
        <v>103</v>
      </c>
      <c r="M22" s="11" t="s">
        <v>104</v>
      </c>
      <c r="N22" s="11" t="s">
        <v>105</v>
      </c>
      <c r="O22" s="11" t="s">
        <v>106</v>
      </c>
      <c r="P22" s="11" t="s">
        <v>47</v>
      </c>
    </row>
    <row r="23" customFormat="false" ht="15" hidden="false" customHeight="true" outlineLevel="0" collapsed="false">
      <c r="A23" s="6" t="s">
        <v>48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false" ht="15" hidden="false" customHeight="true" outlineLevel="0" collapsed="false">
      <c r="A24" s="13" t="s">
        <v>56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customFormat="false" ht="15" hidden="false" customHeight="true" outlineLevel="0" collapsed="false">
      <c r="A25" s="6" t="s">
        <v>60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false" ht="15" hidden="false" customHeight="true" outlineLevel="0" collapsed="false">
      <c r="A26" s="13" t="s">
        <v>67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customFormat="false" ht="15" hidden="false" customHeight="true" outlineLevel="0" collapsed="false">
      <c r="A27" s="6" t="s">
        <v>70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false" ht="15" hidden="false" customHeight="true" outlineLevel="0" collapsed="false">
      <c r="A28" s="13" t="s">
        <v>75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30" customFormat="false" ht="4.5" hidden="false" customHeight="true" outlineLevel="0" collapsed="false"/>
    <row r="31" customFormat="false" ht="13.5" hidden="false" customHeight="true" outlineLevel="0" collapsed="false">
      <c r="A31" s="9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</sheetData>
  <mergeCells count="7">
    <mergeCell ref="A1:H1"/>
    <mergeCell ref="I1:P1"/>
    <mergeCell ref="A2:P2"/>
    <mergeCell ref="A3:P3"/>
    <mergeCell ref="A12:P12"/>
    <mergeCell ref="A21:P21"/>
    <mergeCell ref="A31:P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27.75" hidden="false" customHeight="true" outlineLevel="0" collapsed="false">
      <c r="A3" s="11" t="s">
        <v>32</v>
      </c>
      <c r="B3" s="11" t="s">
        <v>33</v>
      </c>
      <c r="C3" s="11" t="s">
        <v>108</v>
      </c>
      <c r="D3" s="11" t="s">
        <v>109</v>
      </c>
      <c r="E3" s="11" t="s">
        <v>37</v>
      </c>
      <c r="F3" s="11" t="s">
        <v>110</v>
      </c>
      <c r="G3" s="11" t="s">
        <v>94</v>
      </c>
      <c r="H3" s="11" t="s">
        <v>99</v>
      </c>
      <c r="I3" s="11" t="s">
        <v>111</v>
      </c>
      <c r="J3" s="11" t="s">
        <v>112</v>
      </c>
      <c r="K3" s="11" t="s">
        <v>113</v>
      </c>
      <c r="L3" s="11" t="s">
        <v>114</v>
      </c>
      <c r="M3" s="11" t="s">
        <v>87</v>
      </c>
      <c r="N3" s="11" t="s">
        <v>115</v>
      </c>
      <c r="O3" s="11" t="s">
        <v>116</v>
      </c>
      <c r="P3" s="11" t="s">
        <v>47</v>
      </c>
    </row>
    <row r="4" customFormat="false" ht="15" hidden="false" customHeight="true" outlineLevel="0" collapsed="false">
      <c r="A4" s="6" t="s">
        <v>117</v>
      </c>
      <c r="B4" s="12" t="s">
        <v>118</v>
      </c>
      <c r="C4" s="12" t="s">
        <v>119</v>
      </c>
      <c r="D4" s="12"/>
      <c r="E4" s="12"/>
      <c r="F4" s="12"/>
      <c r="G4" s="12"/>
      <c r="H4" s="12"/>
      <c r="I4" s="12"/>
      <c r="J4" s="12" t="s">
        <v>120</v>
      </c>
      <c r="K4" s="12" t="s">
        <v>121</v>
      </c>
      <c r="L4" s="12"/>
      <c r="M4" s="12" t="s">
        <v>122</v>
      </c>
      <c r="N4" s="12" t="s">
        <v>123</v>
      </c>
      <c r="O4" s="12" t="s">
        <v>52</v>
      </c>
      <c r="P4" s="12"/>
    </row>
    <row r="5" customFormat="false" ht="15" hidden="false" customHeight="true" outlineLevel="0" collapsed="false">
      <c r="A5" s="13" t="s">
        <v>124</v>
      </c>
      <c r="B5" s="14" t="s">
        <v>118</v>
      </c>
      <c r="C5" s="14" t="s">
        <v>125</v>
      </c>
      <c r="D5" s="14"/>
      <c r="E5" s="14"/>
      <c r="F5" s="14"/>
      <c r="G5" s="14"/>
      <c r="H5" s="14"/>
      <c r="I5" s="14"/>
      <c r="J5" s="14" t="s">
        <v>120</v>
      </c>
      <c r="K5" s="14" t="s">
        <v>121</v>
      </c>
      <c r="L5" s="14"/>
      <c r="M5" s="14" t="s">
        <v>122</v>
      </c>
      <c r="N5" s="14" t="s">
        <v>123</v>
      </c>
      <c r="O5" s="14" t="s">
        <v>52</v>
      </c>
      <c r="P5" s="14"/>
    </row>
    <row r="6" customFormat="false" ht="15" hidden="false" customHeight="true" outlineLevel="0" collapsed="false">
      <c r="A6" s="6" t="s">
        <v>126</v>
      </c>
      <c r="B6" s="12" t="s">
        <v>118</v>
      </c>
      <c r="C6" s="12" t="s">
        <v>127</v>
      </c>
      <c r="D6" s="12"/>
      <c r="E6" s="12"/>
      <c r="F6" s="12"/>
      <c r="G6" s="12"/>
      <c r="H6" s="12"/>
      <c r="I6" s="12"/>
      <c r="J6" s="12" t="s">
        <v>120</v>
      </c>
      <c r="K6" s="12" t="s">
        <v>121</v>
      </c>
      <c r="L6" s="12"/>
      <c r="M6" s="12" t="s">
        <v>122</v>
      </c>
      <c r="N6" s="12" t="s">
        <v>123</v>
      </c>
      <c r="O6" s="12" t="s">
        <v>52</v>
      </c>
      <c r="P6" s="12"/>
    </row>
    <row r="7" customFormat="false" ht="15" hidden="false" customHeight="true" outlineLevel="0" collapsed="false">
      <c r="A7" s="13" t="s">
        <v>128</v>
      </c>
      <c r="B7" s="14" t="s">
        <v>118</v>
      </c>
      <c r="C7" s="14" t="s">
        <v>129</v>
      </c>
      <c r="D7" s="14"/>
      <c r="E7" s="14"/>
      <c r="F7" s="14"/>
      <c r="G7" s="14"/>
      <c r="H7" s="14"/>
      <c r="I7" s="14"/>
      <c r="J7" s="14" t="s">
        <v>120</v>
      </c>
      <c r="K7" s="14" t="s">
        <v>121</v>
      </c>
      <c r="L7" s="14"/>
      <c r="M7" s="14" t="s">
        <v>122</v>
      </c>
      <c r="N7" s="14" t="s">
        <v>123</v>
      </c>
      <c r="O7" s="14" t="s">
        <v>52</v>
      </c>
      <c r="P7" s="14"/>
    </row>
    <row r="8" customFormat="false" ht="15" hidden="false" customHeight="true" outlineLevel="0" collapsed="false">
      <c r="A8" s="6" t="s">
        <v>130</v>
      </c>
      <c r="B8" s="12" t="s">
        <v>118</v>
      </c>
      <c r="C8" s="12" t="s">
        <v>131</v>
      </c>
      <c r="D8" s="12"/>
      <c r="E8" s="12"/>
      <c r="F8" s="12"/>
      <c r="G8" s="12"/>
      <c r="H8" s="12"/>
      <c r="I8" s="12"/>
      <c r="J8" s="12" t="s">
        <v>120</v>
      </c>
      <c r="K8" s="12" t="s">
        <v>121</v>
      </c>
      <c r="L8" s="12"/>
      <c r="M8" s="12" t="s">
        <v>122</v>
      </c>
      <c r="N8" s="12" t="s">
        <v>123</v>
      </c>
      <c r="O8" s="12" t="s">
        <v>52</v>
      </c>
      <c r="P8" s="12"/>
    </row>
    <row r="9" customFormat="false" ht="15" hidden="false" customHeight="true" outlineLevel="0" collapsed="false">
      <c r="A9" s="13" t="s">
        <v>132</v>
      </c>
      <c r="B9" s="14" t="s">
        <v>118</v>
      </c>
      <c r="C9" s="14" t="s">
        <v>133</v>
      </c>
      <c r="D9" s="14"/>
      <c r="E9" s="14"/>
      <c r="F9" s="14"/>
      <c r="G9" s="14"/>
      <c r="H9" s="14"/>
      <c r="I9" s="14"/>
      <c r="J9" s="14" t="s">
        <v>120</v>
      </c>
      <c r="K9" s="14" t="s">
        <v>121</v>
      </c>
      <c r="L9" s="14"/>
      <c r="M9" s="14" t="s">
        <v>122</v>
      </c>
      <c r="N9" s="14" t="s">
        <v>134</v>
      </c>
      <c r="O9" s="14" t="s">
        <v>63</v>
      </c>
      <c r="P9" s="14" t="s">
        <v>135</v>
      </c>
    </row>
    <row r="10" customFormat="false" ht="15" hidden="false" customHeight="true" outlineLevel="0" collapsed="false">
      <c r="A10" s="6" t="s">
        <v>136</v>
      </c>
      <c r="B10" s="12" t="s">
        <v>118</v>
      </c>
      <c r="C10" s="12" t="s">
        <v>137</v>
      </c>
      <c r="D10" s="12"/>
      <c r="E10" s="12"/>
      <c r="F10" s="12"/>
      <c r="G10" s="12"/>
      <c r="H10" s="12"/>
      <c r="I10" s="12"/>
      <c r="J10" s="12" t="s">
        <v>120</v>
      </c>
      <c r="K10" s="12" t="s">
        <v>121</v>
      </c>
      <c r="L10" s="12"/>
      <c r="M10" s="12" t="s">
        <v>122</v>
      </c>
      <c r="N10" s="12" t="s">
        <v>123</v>
      </c>
      <c r="O10" s="12" t="s">
        <v>52</v>
      </c>
      <c r="P10" s="12"/>
    </row>
    <row r="11" customFormat="false" ht="15" hidden="false" customHeight="true" outlineLevel="0" collapsed="false">
      <c r="A11" s="13" t="s">
        <v>138</v>
      </c>
      <c r="B11" s="14" t="s">
        <v>118</v>
      </c>
      <c r="C11" s="14" t="s">
        <v>139</v>
      </c>
      <c r="D11" s="14"/>
      <c r="E11" s="14"/>
      <c r="F11" s="14"/>
      <c r="G11" s="14"/>
      <c r="H11" s="14"/>
      <c r="I11" s="14"/>
      <c r="J11" s="14" t="s">
        <v>140</v>
      </c>
      <c r="K11" s="14" t="s">
        <v>121</v>
      </c>
      <c r="L11" s="14"/>
      <c r="M11" s="14" t="s">
        <v>122</v>
      </c>
      <c r="N11" s="14" t="s">
        <v>123</v>
      </c>
      <c r="O11" s="14" t="s">
        <v>52</v>
      </c>
      <c r="P11" s="14"/>
    </row>
    <row r="12" customFormat="false" ht="15" hidden="false" customHeight="true" outlineLevel="0" collapsed="false">
      <c r="A12" s="6" t="s">
        <v>141</v>
      </c>
      <c r="B12" s="12" t="s">
        <v>142</v>
      </c>
      <c r="C12" s="12" t="s">
        <v>143</v>
      </c>
      <c r="D12" s="12"/>
      <c r="E12" s="12"/>
      <c r="F12" s="12"/>
      <c r="G12" s="12"/>
      <c r="H12" s="12"/>
      <c r="I12" s="12"/>
      <c r="J12" s="12" t="s">
        <v>120</v>
      </c>
      <c r="K12" s="12" t="s">
        <v>121</v>
      </c>
      <c r="L12" s="12"/>
      <c r="M12" s="12" t="s">
        <v>144</v>
      </c>
      <c r="N12" s="12" t="s">
        <v>145</v>
      </c>
      <c r="O12" s="12" t="s">
        <v>146</v>
      </c>
      <c r="P12" s="12"/>
    </row>
    <row r="13" customFormat="false" ht="15" hidden="false" customHeight="true" outlineLevel="0" collapsed="false">
      <c r="A13" s="13" t="s">
        <v>147</v>
      </c>
      <c r="B13" s="14" t="s">
        <v>142</v>
      </c>
      <c r="C13" s="14" t="s">
        <v>148</v>
      </c>
      <c r="D13" s="14"/>
      <c r="E13" s="14"/>
      <c r="F13" s="14"/>
      <c r="G13" s="14"/>
      <c r="H13" s="14"/>
      <c r="I13" s="14"/>
      <c r="J13" s="14" t="s">
        <v>120</v>
      </c>
      <c r="K13" s="14" t="s">
        <v>121</v>
      </c>
      <c r="L13" s="14"/>
      <c r="M13" s="14" t="s">
        <v>144</v>
      </c>
      <c r="N13" s="14" t="s">
        <v>145</v>
      </c>
      <c r="O13" s="14" t="s">
        <v>146</v>
      </c>
      <c r="P13" s="14"/>
    </row>
    <row r="14" customFormat="false" ht="15" hidden="false" customHeight="true" outlineLevel="0" collapsed="false">
      <c r="A14" s="6" t="s">
        <v>149</v>
      </c>
      <c r="B14" s="12" t="s">
        <v>142</v>
      </c>
      <c r="C14" s="12" t="s">
        <v>150</v>
      </c>
      <c r="D14" s="12"/>
      <c r="E14" s="12"/>
      <c r="F14" s="12"/>
      <c r="G14" s="12"/>
      <c r="H14" s="12"/>
      <c r="I14" s="12"/>
      <c r="J14" s="12" t="s">
        <v>120</v>
      </c>
      <c r="K14" s="12" t="s">
        <v>121</v>
      </c>
      <c r="L14" s="12"/>
      <c r="M14" s="12" t="s">
        <v>144</v>
      </c>
      <c r="N14" s="12" t="s">
        <v>145</v>
      </c>
      <c r="O14" s="12" t="s">
        <v>146</v>
      </c>
      <c r="P14" s="12"/>
    </row>
    <row r="15" customFormat="false" ht="15" hidden="false" customHeight="true" outlineLevel="0" collapsed="false">
      <c r="A15" s="13" t="s">
        <v>151</v>
      </c>
      <c r="B15" s="14" t="s">
        <v>142</v>
      </c>
      <c r="C15" s="14" t="s">
        <v>152</v>
      </c>
      <c r="D15" s="14"/>
      <c r="E15" s="14"/>
      <c r="F15" s="14"/>
      <c r="G15" s="14"/>
      <c r="H15" s="14"/>
      <c r="I15" s="14"/>
      <c r="J15" s="14" t="s">
        <v>120</v>
      </c>
      <c r="K15" s="14" t="s">
        <v>121</v>
      </c>
      <c r="L15" s="14"/>
      <c r="M15" s="14" t="s">
        <v>144</v>
      </c>
      <c r="N15" s="14" t="s">
        <v>145</v>
      </c>
      <c r="O15" s="14" t="s">
        <v>146</v>
      </c>
      <c r="P15" s="14"/>
    </row>
    <row r="16" customFormat="false" ht="15.75" hidden="false" customHeight="true" outlineLevel="0" collapsed="false">
      <c r="A16" s="15" t="s">
        <v>153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8" customFormat="false" ht="19.5" hidden="false" customHeight="true" outlineLevel="0" collapsed="false">
      <c r="A18" s="4" t="s">
        <v>154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customFormat="false" ht="15" hidden="false" customHeight="true" outlineLevel="0" collapsed="false">
      <c r="A19" s="5" t="s">
        <v>155</v>
      </c>
      <c r="B19" s="5"/>
      <c r="C19" s="5"/>
      <c r="D19" s="5"/>
      <c r="E19" s="16" t="n">
        <f aca="false">SUM(F4:F15)</f>
        <v>0</v>
      </c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</row>
    <row r="20" customFormat="false" ht="15" hidden="false" customHeight="true" outlineLevel="0" collapsed="false">
      <c r="A20" s="5" t="s">
        <v>156</v>
      </c>
      <c r="B20" s="5"/>
      <c r="C20" s="5"/>
      <c r="D20" s="5"/>
      <c r="E20" s="16" t="n">
        <f aca="false">SUM(H4:H15)</f>
        <v>0</v>
      </c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</row>
    <row r="21" customFormat="false" ht="15" hidden="false" customHeight="true" outlineLevel="0" collapsed="false">
      <c r="A21" s="5" t="s">
        <v>157</v>
      </c>
      <c r="B21" s="5"/>
      <c r="C21" s="5"/>
      <c r="D21" s="5"/>
      <c r="E21" s="16" t="n">
        <f aca="false">SUM(D4:D15)</f>
        <v>0</v>
      </c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</row>
    <row r="22" customFormat="false" ht="15" hidden="false" customHeight="true" outlineLevel="0" collapsed="false">
      <c r="A22" s="5" t="s">
        <v>158</v>
      </c>
      <c r="B22" s="5"/>
      <c r="C22" s="5"/>
      <c r="D22" s="5"/>
      <c r="E22" s="16" t="n">
        <f aca="false">SUM(E4:E15)</f>
        <v>0</v>
      </c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</row>
    <row r="23" customFormat="false" ht="15" hidden="false" customHeight="true" outlineLevel="0" collapsed="false">
      <c r="A23" s="5" t="s">
        <v>159</v>
      </c>
      <c r="B23" s="5"/>
      <c r="C23" s="5"/>
      <c r="D23" s="5"/>
      <c r="E23" s="16" t="n">
        <f aca="false">COUNTIF(N4:N15,"Yes")</f>
        <v>7</v>
      </c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7"/>
    </row>
    <row r="24" customFormat="false" ht="15" hidden="false" customHeight="true" outlineLevel="0" collapsed="false">
      <c r="A24" s="5" t="s">
        <v>160</v>
      </c>
      <c r="B24" s="5"/>
      <c r="C24" s="5"/>
      <c r="D24" s="5"/>
      <c r="E24" s="16" t="n">
        <f aca="false">COUNTA(A4:A15)</f>
        <v>12</v>
      </c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7"/>
    </row>
    <row r="26" customFormat="false" ht="4.5" hidden="false" customHeight="true" outlineLevel="0" collapsed="false"/>
    <row r="27" customFormat="false" ht="13.5" hidden="false" customHeight="true" outlineLevel="0" collapsed="false">
      <c r="A27" s="9" t="s">
        <v>29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</sheetData>
  <mergeCells count="18">
    <mergeCell ref="A1:H1"/>
    <mergeCell ref="I1:P1"/>
    <mergeCell ref="A2:P2"/>
    <mergeCell ref="A16:P16"/>
    <mergeCell ref="A18:P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3"/>
    <mergeCell ref="E23:H23"/>
    <mergeCell ref="A24:D24"/>
    <mergeCell ref="E24:H24"/>
    <mergeCell ref="A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161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8" hidden="false" customHeight="true" outlineLevel="0" collapsed="false">
      <c r="A3" s="10" t="s">
        <v>162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27.75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110</v>
      </c>
      <c r="E4" s="11" t="s">
        <v>163</v>
      </c>
      <c r="F4" s="11" t="s">
        <v>164</v>
      </c>
      <c r="G4" s="11" t="s">
        <v>165</v>
      </c>
      <c r="H4" s="11" t="s">
        <v>166</v>
      </c>
      <c r="I4" s="11" t="s">
        <v>167</v>
      </c>
      <c r="J4" s="11" t="s">
        <v>168</v>
      </c>
      <c r="K4" s="11" t="s">
        <v>169</v>
      </c>
      <c r="L4" s="11" t="s">
        <v>170</v>
      </c>
      <c r="M4" s="11" t="s">
        <v>171</v>
      </c>
      <c r="N4" s="11" t="s">
        <v>172</v>
      </c>
      <c r="O4" s="11" t="s">
        <v>173</v>
      </c>
      <c r="P4" s="11" t="s">
        <v>47</v>
      </c>
    </row>
    <row r="5" customFormat="false" ht="15" hidden="false" customHeight="true" outlineLevel="0" collapsed="false">
      <c r="A5" s="6" t="s">
        <v>174</v>
      </c>
      <c r="B5" s="12" t="s">
        <v>175</v>
      </c>
      <c r="C5" s="12" t="s">
        <v>176</v>
      </c>
      <c r="D5" s="12"/>
      <c r="E5" s="12"/>
      <c r="F5" s="12"/>
      <c r="G5" s="12" t="s">
        <v>177</v>
      </c>
      <c r="H5" s="12" t="s">
        <v>178</v>
      </c>
      <c r="I5" s="12"/>
      <c r="J5" s="12"/>
      <c r="K5" s="12" t="s">
        <v>179</v>
      </c>
      <c r="L5" s="12" t="s">
        <v>145</v>
      </c>
      <c r="M5" s="12" t="s">
        <v>145</v>
      </c>
      <c r="N5" s="12" t="s">
        <v>145</v>
      </c>
      <c r="O5" s="12" t="s">
        <v>120</v>
      </c>
      <c r="P5" s="12"/>
    </row>
    <row r="6" customFormat="false" ht="15" hidden="false" customHeight="true" outlineLevel="0" collapsed="false">
      <c r="A6" s="13" t="s">
        <v>180</v>
      </c>
      <c r="B6" s="14" t="s">
        <v>181</v>
      </c>
      <c r="C6" s="14" t="s">
        <v>182</v>
      </c>
      <c r="D6" s="14"/>
      <c r="E6" s="14"/>
      <c r="F6" s="14"/>
      <c r="G6" s="14" t="s">
        <v>177</v>
      </c>
      <c r="H6" s="14" t="s">
        <v>178</v>
      </c>
      <c r="I6" s="14"/>
      <c r="J6" s="14"/>
      <c r="K6" s="14" t="s">
        <v>183</v>
      </c>
      <c r="L6" s="14"/>
      <c r="M6" s="14" t="s">
        <v>184</v>
      </c>
      <c r="N6" s="14" t="s">
        <v>185</v>
      </c>
      <c r="O6" s="14" t="s">
        <v>186</v>
      </c>
      <c r="P6" s="14"/>
    </row>
    <row r="7" customFormat="false" ht="15" hidden="false" customHeight="true" outlineLevel="0" collapsed="false">
      <c r="A7" s="6" t="s">
        <v>187</v>
      </c>
      <c r="B7" s="12" t="s">
        <v>188</v>
      </c>
      <c r="C7" s="12" t="s">
        <v>189</v>
      </c>
      <c r="D7" s="12"/>
      <c r="E7" s="12"/>
      <c r="F7" s="12"/>
      <c r="G7" s="12" t="s">
        <v>177</v>
      </c>
      <c r="H7" s="12" t="s">
        <v>178</v>
      </c>
      <c r="I7" s="12"/>
      <c r="J7" s="12"/>
      <c r="K7" s="12" t="s">
        <v>179</v>
      </c>
      <c r="L7" s="12" t="s">
        <v>145</v>
      </c>
      <c r="M7" s="12" t="s">
        <v>145</v>
      </c>
      <c r="N7" s="12" t="s">
        <v>145</v>
      </c>
      <c r="O7" s="12" t="s">
        <v>140</v>
      </c>
      <c r="P7" s="12" t="s">
        <v>190</v>
      </c>
    </row>
    <row r="8" customFormat="false" ht="15" hidden="false" customHeight="true" outlineLevel="0" collapsed="false">
      <c r="A8" s="13" t="s">
        <v>191</v>
      </c>
      <c r="B8" s="14" t="s">
        <v>192</v>
      </c>
      <c r="C8" s="14" t="s">
        <v>189</v>
      </c>
      <c r="D8" s="14"/>
      <c r="E8" s="14"/>
      <c r="F8" s="14"/>
      <c r="G8" s="14" t="s">
        <v>177</v>
      </c>
      <c r="H8" s="14" t="s">
        <v>178</v>
      </c>
      <c r="I8" s="14"/>
      <c r="J8" s="14"/>
      <c r="K8" s="14" t="s">
        <v>179</v>
      </c>
      <c r="L8" s="14" t="s">
        <v>145</v>
      </c>
      <c r="M8" s="14" t="s">
        <v>145</v>
      </c>
      <c r="N8" s="14" t="s">
        <v>145</v>
      </c>
      <c r="O8" s="14" t="s">
        <v>140</v>
      </c>
      <c r="P8" s="14" t="s">
        <v>190</v>
      </c>
    </row>
    <row r="10" customFormat="false" ht="18" hidden="false" customHeight="true" outlineLevel="0" collapsed="false">
      <c r="A10" s="10" t="s">
        <v>193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27.75" hidden="false" customHeight="true" outlineLevel="0" collapsed="false">
      <c r="A11" s="11" t="s">
        <v>32</v>
      </c>
      <c r="B11" s="11" t="s">
        <v>33</v>
      </c>
      <c r="C11" s="11" t="s">
        <v>34</v>
      </c>
      <c r="D11" s="11" t="s">
        <v>110</v>
      </c>
      <c r="E11" s="11" t="s">
        <v>194</v>
      </c>
      <c r="F11" s="11" t="s">
        <v>195</v>
      </c>
      <c r="G11" s="11" t="s">
        <v>196</v>
      </c>
      <c r="H11" s="11" t="s">
        <v>197</v>
      </c>
      <c r="I11" s="11" t="s">
        <v>198</v>
      </c>
      <c r="J11" s="11" t="s">
        <v>199</v>
      </c>
      <c r="K11" s="11" t="s">
        <v>200</v>
      </c>
      <c r="L11" s="11" t="s">
        <v>201</v>
      </c>
      <c r="M11" s="11" t="s">
        <v>202</v>
      </c>
      <c r="N11" s="11" t="s">
        <v>203</v>
      </c>
      <c r="O11" s="11" t="s">
        <v>204</v>
      </c>
      <c r="P11" s="11" t="s">
        <v>47</v>
      </c>
    </row>
    <row r="12" customFormat="false" ht="15" hidden="false" customHeight="true" outlineLevel="0" collapsed="false">
      <c r="A12" s="6" t="s">
        <v>205</v>
      </c>
      <c r="B12" s="12" t="s">
        <v>206</v>
      </c>
      <c r="C12" s="12" t="s">
        <v>207</v>
      </c>
      <c r="D12" s="12"/>
      <c r="E12" s="12"/>
      <c r="F12" s="12" t="s">
        <v>146</v>
      </c>
      <c r="G12" s="12" t="s">
        <v>208</v>
      </c>
      <c r="H12" s="12" t="s">
        <v>209</v>
      </c>
      <c r="I12" s="12"/>
      <c r="J12" s="12"/>
      <c r="K12" s="12" t="s">
        <v>210</v>
      </c>
      <c r="L12" s="12"/>
      <c r="M12" s="12" t="s">
        <v>211</v>
      </c>
      <c r="N12" s="12" t="s">
        <v>212</v>
      </c>
      <c r="O12" s="12" t="s">
        <v>213</v>
      </c>
      <c r="P12" s="12"/>
    </row>
    <row r="13" customFormat="false" ht="15" hidden="false" customHeight="true" outlineLevel="0" collapsed="false">
      <c r="A13" s="13" t="s">
        <v>214</v>
      </c>
      <c r="B13" s="14" t="s">
        <v>206</v>
      </c>
      <c r="C13" s="14" t="s">
        <v>215</v>
      </c>
      <c r="D13" s="14"/>
      <c r="E13" s="14"/>
      <c r="F13" s="14" t="s">
        <v>146</v>
      </c>
      <c r="G13" s="14" t="s">
        <v>208</v>
      </c>
      <c r="H13" s="14" t="s">
        <v>209</v>
      </c>
      <c r="I13" s="14"/>
      <c r="J13" s="14"/>
      <c r="K13" s="14" t="s">
        <v>210</v>
      </c>
      <c r="L13" s="14"/>
      <c r="M13" s="14" t="s">
        <v>211</v>
      </c>
      <c r="N13" s="14" t="s">
        <v>212</v>
      </c>
      <c r="O13" s="14" t="s">
        <v>213</v>
      </c>
      <c r="P13" s="14"/>
    </row>
    <row r="15" customFormat="false" ht="18" hidden="false" customHeight="true" outlineLevel="0" collapsed="false">
      <c r="A15" s="10" t="s">
        <v>216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customFormat="false" ht="27.75" hidden="false" customHeight="true" outlineLevel="0" collapsed="false">
      <c r="A16" s="11" t="s">
        <v>32</v>
      </c>
      <c r="B16" s="11" t="s">
        <v>33</v>
      </c>
      <c r="C16" s="11" t="s">
        <v>34</v>
      </c>
      <c r="D16" s="11" t="s">
        <v>110</v>
      </c>
      <c r="E16" s="11" t="s">
        <v>217</v>
      </c>
      <c r="F16" s="11" t="s">
        <v>173</v>
      </c>
      <c r="G16" s="11" t="s">
        <v>113</v>
      </c>
      <c r="H16" s="11" t="s">
        <v>218</v>
      </c>
      <c r="I16" s="11" t="s">
        <v>87</v>
      </c>
      <c r="J16" s="11" t="s">
        <v>219</v>
      </c>
      <c r="K16" s="11" t="s">
        <v>220</v>
      </c>
      <c r="L16" s="11" t="s">
        <v>221</v>
      </c>
      <c r="M16" s="11" t="s">
        <v>222</v>
      </c>
      <c r="N16" s="11" t="s">
        <v>223</v>
      </c>
      <c r="O16" s="11" t="s">
        <v>224</v>
      </c>
      <c r="P16" s="11" t="s">
        <v>47</v>
      </c>
    </row>
    <row r="17" customFormat="false" ht="15" hidden="false" customHeight="true" outlineLevel="0" collapsed="false">
      <c r="A17" s="6" t="s">
        <v>225</v>
      </c>
      <c r="B17" s="12" t="s">
        <v>226</v>
      </c>
      <c r="C17" s="12" t="s">
        <v>69</v>
      </c>
      <c r="D17" s="12"/>
      <c r="E17" s="12"/>
      <c r="F17" s="12" t="s">
        <v>120</v>
      </c>
      <c r="G17" s="12" t="s">
        <v>121</v>
      </c>
      <c r="H17" s="12" t="s">
        <v>227</v>
      </c>
      <c r="I17" s="12" t="s">
        <v>122</v>
      </c>
      <c r="J17" s="12"/>
      <c r="K17" s="12"/>
      <c r="L17" s="12"/>
      <c r="M17" s="12"/>
      <c r="N17" s="12" t="s">
        <v>228</v>
      </c>
      <c r="O17" s="12"/>
      <c r="P17" s="12"/>
    </row>
    <row r="18" customFormat="false" ht="15" hidden="false" customHeight="true" outlineLevel="0" collapsed="false">
      <c r="A18" s="13" t="s">
        <v>229</v>
      </c>
      <c r="B18" s="14" t="s">
        <v>226</v>
      </c>
      <c r="C18" s="14" t="s">
        <v>72</v>
      </c>
      <c r="D18" s="14"/>
      <c r="E18" s="14"/>
      <c r="F18" s="14" t="s">
        <v>120</v>
      </c>
      <c r="G18" s="14" t="s">
        <v>121</v>
      </c>
      <c r="H18" s="14" t="s">
        <v>227</v>
      </c>
      <c r="I18" s="14" t="s">
        <v>122</v>
      </c>
      <c r="J18" s="14"/>
      <c r="K18" s="14"/>
      <c r="L18" s="14"/>
      <c r="M18" s="14"/>
      <c r="N18" s="14" t="s">
        <v>228</v>
      </c>
      <c r="O18" s="14"/>
      <c r="P18" s="14"/>
    </row>
    <row r="19" customFormat="false" ht="15" hidden="false" customHeight="true" outlineLevel="0" collapsed="false">
      <c r="A19" s="6" t="s">
        <v>230</v>
      </c>
      <c r="B19" s="12" t="s">
        <v>226</v>
      </c>
      <c r="C19" s="12" t="s">
        <v>231</v>
      </c>
      <c r="D19" s="12"/>
      <c r="E19" s="12"/>
      <c r="F19" s="12" t="s">
        <v>120</v>
      </c>
      <c r="G19" s="12" t="s">
        <v>121</v>
      </c>
      <c r="H19" s="12" t="s">
        <v>232</v>
      </c>
      <c r="I19" s="12" t="s">
        <v>144</v>
      </c>
      <c r="J19" s="12"/>
      <c r="K19" s="12"/>
      <c r="L19" s="12"/>
      <c r="M19" s="12"/>
      <c r="N19" s="12" t="s">
        <v>228</v>
      </c>
      <c r="O19" s="12"/>
      <c r="P19" s="12"/>
    </row>
    <row r="20" customFormat="false" ht="15" hidden="false" customHeight="true" outlineLevel="0" collapsed="false">
      <c r="A20" s="13" t="s">
        <v>233</v>
      </c>
      <c r="B20" s="14" t="s">
        <v>234</v>
      </c>
      <c r="C20" s="14" t="s">
        <v>235</v>
      </c>
      <c r="D20" s="14"/>
      <c r="E20" s="14"/>
      <c r="F20" s="14" t="s">
        <v>120</v>
      </c>
      <c r="G20" s="14" t="s">
        <v>236</v>
      </c>
      <c r="H20" s="14" t="s">
        <v>237</v>
      </c>
      <c r="I20" s="14" t="s">
        <v>122</v>
      </c>
      <c r="J20" s="14"/>
      <c r="K20" s="14"/>
      <c r="L20" s="14"/>
      <c r="M20" s="14"/>
      <c r="N20" s="14" t="s">
        <v>238</v>
      </c>
      <c r="O20" s="14"/>
      <c r="P20" s="14"/>
    </row>
    <row r="21" customFormat="false" ht="15" hidden="false" customHeight="true" outlineLevel="0" collapsed="false">
      <c r="A21" s="6" t="s">
        <v>239</v>
      </c>
      <c r="B21" s="12" t="s">
        <v>234</v>
      </c>
      <c r="C21" s="12" t="s">
        <v>235</v>
      </c>
      <c r="D21" s="12"/>
      <c r="E21" s="12"/>
      <c r="F21" s="12" t="s">
        <v>120</v>
      </c>
      <c r="G21" s="12" t="s">
        <v>236</v>
      </c>
      <c r="H21" s="12" t="s">
        <v>237</v>
      </c>
      <c r="I21" s="12" t="s">
        <v>122</v>
      </c>
      <c r="J21" s="12"/>
      <c r="K21" s="12"/>
      <c r="L21" s="12"/>
      <c r="M21" s="12"/>
      <c r="N21" s="12" t="s">
        <v>238</v>
      </c>
      <c r="O21" s="12"/>
      <c r="P21" s="12"/>
    </row>
    <row r="23" customFormat="false" ht="4.5" hidden="false" customHeight="true" outlineLevel="0" collapsed="false"/>
    <row r="24" customFormat="false" ht="13.5" hidden="false" customHeight="true" outlineLevel="0" collapsed="false">
      <c r="A24" s="9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</sheetData>
  <mergeCells count="7">
    <mergeCell ref="A1:H1"/>
    <mergeCell ref="I1:P1"/>
    <mergeCell ref="A2:P2"/>
    <mergeCell ref="A3:P3"/>
    <mergeCell ref="A10:P10"/>
    <mergeCell ref="A15:P15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240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8" hidden="false" customHeight="true" outlineLevel="0" collapsed="false">
      <c r="A3" s="10" t="s">
        <v>241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27.75" hidden="false" customHeight="true" outlineLevel="0" collapsed="false">
      <c r="A4" s="11" t="s">
        <v>32</v>
      </c>
      <c r="B4" s="11" t="s">
        <v>33</v>
      </c>
      <c r="C4" s="11" t="s">
        <v>34</v>
      </c>
      <c r="D4" s="11" t="s">
        <v>242</v>
      </c>
      <c r="E4" s="11" t="s">
        <v>243</v>
      </c>
      <c r="F4" s="11" t="s">
        <v>244</v>
      </c>
      <c r="G4" s="11" t="s">
        <v>245</v>
      </c>
      <c r="H4" s="11" t="s">
        <v>246</v>
      </c>
      <c r="I4" s="11" t="s">
        <v>247</v>
      </c>
      <c r="J4" s="11" t="s">
        <v>248</v>
      </c>
      <c r="K4" s="11" t="s">
        <v>249</v>
      </c>
      <c r="L4" s="11" t="s">
        <v>250</v>
      </c>
      <c r="M4" s="11" t="s">
        <v>87</v>
      </c>
      <c r="N4" s="11" t="s">
        <v>223</v>
      </c>
      <c r="O4" s="11" t="s">
        <v>251</v>
      </c>
      <c r="P4" s="11" t="s">
        <v>47</v>
      </c>
    </row>
    <row r="5" customFormat="false" ht="15" hidden="false" customHeight="true" outlineLevel="0" collapsed="false">
      <c r="A5" s="6" t="s">
        <v>252</v>
      </c>
      <c r="B5" s="12" t="s">
        <v>253</v>
      </c>
      <c r="C5" s="12" t="s">
        <v>254</v>
      </c>
      <c r="D5" s="12"/>
      <c r="E5" s="12"/>
      <c r="F5" s="12" t="s">
        <v>185</v>
      </c>
      <c r="G5" s="12" t="s">
        <v>255</v>
      </c>
      <c r="H5" s="12" t="s">
        <v>256</v>
      </c>
      <c r="I5" s="12" t="s">
        <v>257</v>
      </c>
      <c r="J5" s="12"/>
      <c r="K5" s="12" t="s">
        <v>258</v>
      </c>
      <c r="L5" s="12" t="s">
        <v>259</v>
      </c>
      <c r="M5" s="12" t="s">
        <v>260</v>
      </c>
      <c r="N5" s="12" t="s">
        <v>145</v>
      </c>
      <c r="O5" s="12" t="s">
        <v>261</v>
      </c>
      <c r="P5" s="12"/>
    </row>
    <row r="6" customFormat="false" ht="15" hidden="false" customHeight="true" outlineLevel="0" collapsed="false">
      <c r="A6" s="13" t="s">
        <v>262</v>
      </c>
      <c r="B6" s="14" t="s">
        <v>253</v>
      </c>
      <c r="C6" s="14" t="s">
        <v>254</v>
      </c>
      <c r="D6" s="14"/>
      <c r="E6" s="14"/>
      <c r="F6" s="14" t="s">
        <v>185</v>
      </c>
      <c r="G6" s="14" t="s">
        <v>255</v>
      </c>
      <c r="H6" s="14" t="s">
        <v>256</v>
      </c>
      <c r="I6" s="14" t="s">
        <v>257</v>
      </c>
      <c r="J6" s="14"/>
      <c r="K6" s="14" t="s">
        <v>258</v>
      </c>
      <c r="L6" s="14" t="s">
        <v>259</v>
      </c>
      <c r="M6" s="14" t="s">
        <v>260</v>
      </c>
      <c r="N6" s="14" t="s">
        <v>145</v>
      </c>
      <c r="O6" s="14" t="s">
        <v>261</v>
      </c>
      <c r="P6" s="14" t="s">
        <v>263</v>
      </c>
    </row>
    <row r="7" customFormat="false" ht="15" hidden="false" customHeight="true" outlineLevel="0" collapsed="false">
      <c r="A7" s="6" t="s">
        <v>264</v>
      </c>
      <c r="B7" s="12" t="s">
        <v>265</v>
      </c>
      <c r="C7" s="12" t="s">
        <v>266</v>
      </c>
      <c r="D7" s="12"/>
      <c r="E7" s="12"/>
      <c r="F7" s="12" t="s">
        <v>267</v>
      </c>
      <c r="G7" s="12" t="s">
        <v>255</v>
      </c>
      <c r="H7" s="12"/>
      <c r="I7" s="12"/>
      <c r="J7" s="12"/>
      <c r="K7" s="12" t="s">
        <v>268</v>
      </c>
      <c r="L7" s="12" t="s">
        <v>269</v>
      </c>
      <c r="M7" s="12" t="s">
        <v>260</v>
      </c>
      <c r="N7" s="12" t="s">
        <v>145</v>
      </c>
      <c r="O7" s="12" t="s">
        <v>270</v>
      </c>
      <c r="P7" s="12" t="s">
        <v>271</v>
      </c>
    </row>
    <row r="8" customFormat="false" ht="15" hidden="false" customHeight="true" outlineLevel="0" collapsed="false">
      <c r="A8" s="13" t="s">
        <v>272</v>
      </c>
      <c r="B8" s="14" t="s">
        <v>273</v>
      </c>
      <c r="C8" s="14" t="s">
        <v>274</v>
      </c>
      <c r="D8" s="14"/>
      <c r="E8" s="14"/>
      <c r="F8" s="14" t="s">
        <v>275</v>
      </c>
      <c r="G8" s="14" t="s">
        <v>276</v>
      </c>
      <c r="H8" s="14"/>
      <c r="I8" s="14"/>
      <c r="J8" s="14"/>
      <c r="K8" s="14" t="s">
        <v>145</v>
      </c>
      <c r="L8" s="14" t="s">
        <v>145</v>
      </c>
      <c r="M8" s="14" t="s">
        <v>277</v>
      </c>
      <c r="N8" s="14" t="s">
        <v>145</v>
      </c>
      <c r="O8" s="14" t="s">
        <v>270</v>
      </c>
      <c r="P8" s="14" t="s">
        <v>278</v>
      </c>
    </row>
    <row r="10" customFormat="false" ht="18" hidden="false" customHeight="true" outlineLevel="0" collapsed="false">
      <c r="A10" s="10" t="s">
        <v>279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27.75" hidden="false" customHeight="true" outlineLevel="0" collapsed="false">
      <c r="A11" s="11" t="s">
        <v>32</v>
      </c>
      <c r="B11" s="11" t="s">
        <v>33</v>
      </c>
      <c r="C11" s="11" t="s">
        <v>280</v>
      </c>
      <c r="D11" s="11" t="s">
        <v>194</v>
      </c>
      <c r="E11" s="11" t="s">
        <v>281</v>
      </c>
      <c r="F11" s="11" t="s">
        <v>282</v>
      </c>
      <c r="G11" s="11" t="s">
        <v>114</v>
      </c>
      <c r="H11" s="11" t="s">
        <v>283</v>
      </c>
      <c r="I11" s="11" t="s">
        <v>87</v>
      </c>
      <c r="J11" s="11" t="s">
        <v>219</v>
      </c>
      <c r="K11" s="11" t="s">
        <v>220</v>
      </c>
      <c r="L11" s="11" t="s">
        <v>284</v>
      </c>
      <c r="M11" s="11" t="s">
        <v>285</v>
      </c>
      <c r="N11" s="11" t="s">
        <v>90</v>
      </c>
      <c r="O11" s="11" t="s">
        <v>286</v>
      </c>
      <c r="P11" s="11" t="s">
        <v>47</v>
      </c>
    </row>
    <row r="12" customFormat="false" ht="15" hidden="false" customHeight="true" outlineLevel="0" collapsed="false">
      <c r="A12" s="6" t="s">
        <v>287</v>
      </c>
      <c r="B12" s="12" t="s">
        <v>288</v>
      </c>
      <c r="C12" s="12" t="s">
        <v>289</v>
      </c>
      <c r="D12" s="12"/>
      <c r="E12" s="12"/>
      <c r="F12" s="12"/>
      <c r="G12" s="12"/>
      <c r="H12" s="12"/>
      <c r="I12" s="12" t="s">
        <v>122</v>
      </c>
      <c r="J12" s="12"/>
      <c r="K12" s="12"/>
      <c r="L12" s="12"/>
      <c r="M12" s="12"/>
      <c r="N12" s="12" t="s">
        <v>123</v>
      </c>
      <c r="O12" s="12"/>
      <c r="P12" s="12"/>
    </row>
    <row r="13" customFormat="false" ht="15" hidden="false" customHeight="true" outlineLevel="0" collapsed="false">
      <c r="A13" s="13" t="s">
        <v>290</v>
      </c>
      <c r="B13" s="14" t="s">
        <v>291</v>
      </c>
      <c r="C13" s="14" t="s">
        <v>289</v>
      </c>
      <c r="D13" s="14"/>
      <c r="E13" s="14"/>
      <c r="F13" s="14"/>
      <c r="G13" s="14"/>
      <c r="H13" s="14"/>
      <c r="I13" s="14" t="s">
        <v>122</v>
      </c>
      <c r="J13" s="14"/>
      <c r="K13" s="14"/>
      <c r="L13" s="14"/>
      <c r="M13" s="14"/>
      <c r="N13" s="14" t="s">
        <v>123</v>
      </c>
      <c r="O13" s="14"/>
      <c r="P13" s="14"/>
    </row>
    <row r="14" customFormat="false" ht="15" hidden="false" customHeight="true" outlineLevel="0" collapsed="false">
      <c r="A14" s="6" t="s">
        <v>292</v>
      </c>
      <c r="B14" s="12" t="s">
        <v>293</v>
      </c>
      <c r="C14" s="12" t="s">
        <v>294</v>
      </c>
      <c r="D14" s="12"/>
      <c r="E14" s="12"/>
      <c r="F14" s="12"/>
      <c r="G14" s="12"/>
      <c r="H14" s="12"/>
      <c r="I14" s="12" t="s">
        <v>122</v>
      </c>
      <c r="J14" s="12"/>
      <c r="K14" s="12"/>
      <c r="L14" s="12"/>
      <c r="M14" s="12"/>
      <c r="N14" s="12" t="s">
        <v>134</v>
      </c>
      <c r="O14" s="12"/>
      <c r="P14" s="12"/>
    </row>
    <row r="15" customFormat="false" ht="15" hidden="false" customHeight="true" outlineLevel="0" collapsed="false">
      <c r="A15" s="13" t="s">
        <v>295</v>
      </c>
      <c r="B15" s="14" t="s">
        <v>296</v>
      </c>
      <c r="C15" s="14" t="s">
        <v>297</v>
      </c>
      <c r="D15" s="14"/>
      <c r="E15" s="14"/>
      <c r="F15" s="14"/>
      <c r="G15" s="14"/>
      <c r="H15" s="14"/>
      <c r="I15" s="14" t="s">
        <v>122</v>
      </c>
      <c r="J15" s="14"/>
      <c r="K15" s="14"/>
      <c r="L15" s="14"/>
      <c r="M15" s="14"/>
      <c r="N15" s="14" t="s">
        <v>123</v>
      </c>
      <c r="O15" s="14"/>
      <c r="P15" s="14"/>
    </row>
    <row r="16" customFormat="false" ht="15" hidden="false" customHeight="true" outlineLevel="0" collapsed="false">
      <c r="A16" s="6" t="s">
        <v>298</v>
      </c>
      <c r="B16" s="12" t="s">
        <v>299</v>
      </c>
      <c r="C16" s="12" t="s">
        <v>297</v>
      </c>
      <c r="D16" s="12"/>
      <c r="E16" s="12"/>
      <c r="F16" s="12"/>
      <c r="G16" s="12"/>
      <c r="H16" s="12"/>
      <c r="I16" s="12" t="s">
        <v>122</v>
      </c>
      <c r="J16" s="12"/>
      <c r="K16" s="12"/>
      <c r="L16" s="12"/>
      <c r="M16" s="12"/>
      <c r="N16" s="12" t="s">
        <v>134</v>
      </c>
      <c r="O16" s="12"/>
      <c r="P16" s="12" t="s">
        <v>263</v>
      </c>
    </row>
    <row r="17" customFormat="false" ht="15" hidden="false" customHeight="true" outlineLevel="0" collapsed="false">
      <c r="A17" s="13" t="s">
        <v>300</v>
      </c>
      <c r="B17" s="14" t="s">
        <v>301</v>
      </c>
      <c r="C17" s="14" t="s">
        <v>302</v>
      </c>
      <c r="D17" s="14"/>
      <c r="E17" s="14"/>
      <c r="F17" s="14"/>
      <c r="G17" s="14"/>
      <c r="H17" s="14"/>
      <c r="I17" s="14" t="s">
        <v>260</v>
      </c>
      <c r="J17" s="14"/>
      <c r="K17" s="14"/>
      <c r="L17" s="14"/>
      <c r="M17" s="14"/>
      <c r="N17" s="14" t="s">
        <v>134</v>
      </c>
      <c r="O17" s="14"/>
      <c r="P17" s="14"/>
    </row>
    <row r="18" customFormat="false" ht="15" hidden="false" customHeight="true" outlineLevel="0" collapsed="false">
      <c r="A18" s="6" t="s">
        <v>303</v>
      </c>
      <c r="B18" s="12" t="s">
        <v>304</v>
      </c>
      <c r="C18" s="12" t="s">
        <v>305</v>
      </c>
      <c r="D18" s="12"/>
      <c r="E18" s="12"/>
      <c r="F18" s="12"/>
      <c r="G18" s="12"/>
      <c r="H18" s="12"/>
      <c r="I18" s="12" t="s">
        <v>122</v>
      </c>
      <c r="J18" s="12"/>
      <c r="K18" s="12"/>
      <c r="L18" s="12"/>
      <c r="M18" s="12"/>
      <c r="N18" s="12" t="s">
        <v>123</v>
      </c>
      <c r="O18" s="12"/>
      <c r="P18" s="12" t="s">
        <v>306</v>
      </c>
    </row>
    <row r="20" customFormat="false" ht="18" hidden="false" customHeight="true" outlineLevel="0" collapsed="false">
      <c r="A20" s="10" t="s">
        <v>307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27.75" hidden="false" customHeight="true" outlineLevel="0" collapsed="false">
      <c r="A21" s="11" t="s">
        <v>32</v>
      </c>
      <c r="B21" s="11" t="s">
        <v>33</v>
      </c>
      <c r="C21" s="11" t="s">
        <v>280</v>
      </c>
      <c r="D21" s="11" t="s">
        <v>308</v>
      </c>
      <c r="E21" s="11" t="s">
        <v>309</v>
      </c>
      <c r="F21" s="11" t="s">
        <v>310</v>
      </c>
      <c r="G21" s="11" t="s">
        <v>311</v>
      </c>
      <c r="H21" s="11" t="s">
        <v>312</v>
      </c>
      <c r="I21" s="11" t="s">
        <v>313</v>
      </c>
      <c r="J21" s="11" t="s">
        <v>314</v>
      </c>
      <c r="K21" s="11" t="s">
        <v>315</v>
      </c>
      <c r="L21" s="11" t="s">
        <v>316</v>
      </c>
      <c r="M21" s="11" t="s">
        <v>317</v>
      </c>
      <c r="N21" s="11" t="s">
        <v>204</v>
      </c>
      <c r="O21" s="11" t="s">
        <v>318</v>
      </c>
      <c r="P21" s="11" t="s">
        <v>47</v>
      </c>
    </row>
    <row r="22" customFormat="false" ht="15" hidden="false" customHeight="true" outlineLevel="0" collapsed="false">
      <c r="A22" s="6" t="s">
        <v>319</v>
      </c>
      <c r="B22" s="12" t="s">
        <v>320</v>
      </c>
      <c r="C22" s="12" t="s">
        <v>321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322</v>
      </c>
      <c r="O22" s="12" t="s">
        <v>323</v>
      </c>
      <c r="P22" s="12"/>
    </row>
    <row r="23" customFormat="false" ht="15" hidden="false" customHeight="true" outlineLevel="0" collapsed="false">
      <c r="A23" s="13" t="s">
        <v>324</v>
      </c>
      <c r="B23" s="14" t="s">
        <v>325</v>
      </c>
      <c r="C23" s="14" t="s">
        <v>326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 t="s">
        <v>327</v>
      </c>
      <c r="O23" s="14" t="s">
        <v>323</v>
      </c>
      <c r="P23" s="14"/>
    </row>
    <row r="24" customFormat="false" ht="15" hidden="false" customHeight="true" outlineLevel="0" collapsed="false">
      <c r="A24" s="6" t="s">
        <v>328</v>
      </c>
      <c r="B24" s="12" t="s">
        <v>329</v>
      </c>
      <c r="C24" s="12" t="s">
        <v>289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327</v>
      </c>
      <c r="O24" s="12" t="s">
        <v>330</v>
      </c>
      <c r="P24" s="12" t="s">
        <v>331</v>
      </c>
    </row>
    <row r="25" customFormat="false" ht="15" hidden="false" customHeight="true" outlineLevel="0" collapsed="false">
      <c r="A25" s="13" t="s">
        <v>332</v>
      </c>
      <c r="B25" s="14" t="s">
        <v>333</v>
      </c>
      <c r="C25" s="14" t="s">
        <v>297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327</v>
      </c>
      <c r="O25" s="14" t="s">
        <v>330</v>
      </c>
      <c r="P25" s="14" t="s">
        <v>331</v>
      </c>
    </row>
    <row r="26" customFormat="false" ht="15" hidden="false" customHeight="true" outlineLevel="0" collapsed="false">
      <c r="A26" s="6" t="s">
        <v>334</v>
      </c>
      <c r="B26" s="12" t="s">
        <v>335</v>
      </c>
      <c r="C26" s="12" t="s">
        <v>294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 t="s">
        <v>336</v>
      </c>
    </row>
    <row r="28" customFormat="false" ht="4.5" hidden="false" customHeight="true" outlineLevel="0" collapsed="false"/>
    <row r="29" customFormat="false" ht="13.5" hidden="false" customHeight="true" outlineLevel="0" collapsed="false">
      <c r="A29" s="9" t="s">
        <v>29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</sheetData>
  <mergeCells count="7">
    <mergeCell ref="A1:H1"/>
    <mergeCell ref="I1:P1"/>
    <mergeCell ref="A2:P2"/>
    <mergeCell ref="A3:P3"/>
    <mergeCell ref="A10:P10"/>
    <mergeCell ref="A20:P20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337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27.75" hidden="false" customHeight="true" outlineLevel="0" collapsed="false">
      <c r="A3" s="11" t="s">
        <v>32</v>
      </c>
      <c r="B3" s="11" t="s">
        <v>33</v>
      </c>
      <c r="C3" s="11" t="s">
        <v>338</v>
      </c>
      <c r="D3" s="11" t="s">
        <v>339</v>
      </c>
      <c r="E3" s="11" t="s">
        <v>340</v>
      </c>
      <c r="F3" s="11" t="s">
        <v>341</v>
      </c>
      <c r="G3" s="11" t="s">
        <v>342</v>
      </c>
      <c r="H3" s="11" t="s">
        <v>114</v>
      </c>
      <c r="I3" s="11" t="s">
        <v>199</v>
      </c>
      <c r="J3" s="11" t="s">
        <v>87</v>
      </c>
      <c r="K3" s="11" t="s">
        <v>219</v>
      </c>
      <c r="L3" s="11" t="s">
        <v>220</v>
      </c>
      <c r="M3" s="11" t="s">
        <v>343</v>
      </c>
      <c r="N3" s="11" t="s">
        <v>222</v>
      </c>
      <c r="O3" s="11" t="s">
        <v>90</v>
      </c>
      <c r="P3" s="11" t="s">
        <v>47</v>
      </c>
    </row>
    <row r="4" customFormat="false" ht="15" hidden="false" customHeight="true" outlineLevel="0" collapsed="false">
      <c r="A4" s="6" t="s">
        <v>344</v>
      </c>
      <c r="B4" s="12" t="s">
        <v>345</v>
      </c>
      <c r="C4" s="12" t="s">
        <v>346</v>
      </c>
      <c r="D4" s="12"/>
      <c r="E4" s="12" t="s">
        <v>347</v>
      </c>
      <c r="F4" s="12"/>
      <c r="G4" s="12"/>
      <c r="H4" s="12"/>
      <c r="I4" s="12"/>
      <c r="J4" s="12" t="s">
        <v>144</v>
      </c>
      <c r="K4" s="12"/>
      <c r="L4" s="12"/>
      <c r="M4" s="12" t="s">
        <v>176</v>
      </c>
      <c r="N4" s="12"/>
      <c r="O4" s="12" t="s">
        <v>134</v>
      </c>
      <c r="P4" s="12"/>
    </row>
    <row r="5" customFormat="false" ht="15" hidden="false" customHeight="true" outlineLevel="0" collapsed="false">
      <c r="A5" s="13" t="s">
        <v>348</v>
      </c>
      <c r="B5" s="14" t="s">
        <v>345</v>
      </c>
      <c r="C5" s="14" t="s">
        <v>349</v>
      </c>
      <c r="D5" s="14"/>
      <c r="E5" s="14" t="s">
        <v>347</v>
      </c>
      <c r="F5" s="14"/>
      <c r="G5" s="14"/>
      <c r="H5" s="14"/>
      <c r="I5" s="14"/>
      <c r="J5" s="14" t="s">
        <v>144</v>
      </c>
      <c r="K5" s="14"/>
      <c r="L5" s="14"/>
      <c r="M5" s="14" t="s">
        <v>176</v>
      </c>
      <c r="N5" s="14"/>
      <c r="O5" s="14" t="s">
        <v>134</v>
      </c>
      <c r="P5" s="14"/>
    </row>
    <row r="6" customFormat="false" ht="15" hidden="false" customHeight="true" outlineLevel="0" collapsed="false">
      <c r="A6" s="6" t="s">
        <v>350</v>
      </c>
      <c r="B6" s="12" t="s">
        <v>351</v>
      </c>
      <c r="C6" s="12" t="s">
        <v>152</v>
      </c>
      <c r="D6" s="12"/>
      <c r="E6" s="12" t="s">
        <v>352</v>
      </c>
      <c r="F6" s="12"/>
      <c r="G6" s="12"/>
      <c r="H6" s="12"/>
      <c r="I6" s="12"/>
      <c r="J6" s="12" t="s">
        <v>144</v>
      </c>
      <c r="K6" s="12"/>
      <c r="L6" s="12"/>
      <c r="M6" s="12" t="s">
        <v>176</v>
      </c>
      <c r="N6" s="12"/>
      <c r="O6" s="12" t="s">
        <v>134</v>
      </c>
      <c r="P6" s="12"/>
    </row>
    <row r="7" customFormat="false" ht="15" hidden="false" customHeight="true" outlineLevel="0" collapsed="false">
      <c r="A7" s="13" t="s">
        <v>353</v>
      </c>
      <c r="B7" s="14" t="s">
        <v>354</v>
      </c>
      <c r="C7" s="14" t="s">
        <v>355</v>
      </c>
      <c r="D7" s="14"/>
      <c r="E7" s="14" t="s">
        <v>356</v>
      </c>
      <c r="F7" s="14"/>
      <c r="G7" s="14"/>
      <c r="H7" s="14"/>
      <c r="I7" s="14"/>
      <c r="J7" s="14" t="s">
        <v>122</v>
      </c>
      <c r="K7" s="14"/>
      <c r="L7" s="14"/>
      <c r="M7" s="14" t="s">
        <v>357</v>
      </c>
      <c r="N7" s="14"/>
      <c r="O7" s="14" t="s">
        <v>134</v>
      </c>
      <c r="P7" s="14" t="s">
        <v>358</v>
      </c>
    </row>
    <row r="8" customFormat="false" ht="15" hidden="false" customHeight="true" outlineLevel="0" collapsed="false">
      <c r="A8" s="6" t="s">
        <v>359</v>
      </c>
      <c r="B8" s="12" t="s">
        <v>360</v>
      </c>
      <c r="C8" s="12" t="s">
        <v>361</v>
      </c>
      <c r="D8" s="12"/>
      <c r="E8" s="12" t="s">
        <v>362</v>
      </c>
      <c r="F8" s="12"/>
      <c r="G8" s="12"/>
      <c r="H8" s="12"/>
      <c r="I8" s="12"/>
      <c r="J8" s="12" t="s">
        <v>122</v>
      </c>
      <c r="K8" s="12"/>
      <c r="L8" s="12"/>
      <c r="M8" s="12" t="s">
        <v>363</v>
      </c>
      <c r="N8" s="12"/>
      <c r="O8" s="12" t="s">
        <v>123</v>
      </c>
      <c r="P8" s="12" t="s">
        <v>364</v>
      </c>
    </row>
    <row r="9" customFormat="false" ht="15" hidden="false" customHeight="true" outlineLevel="0" collapsed="false">
      <c r="A9" s="13" t="s">
        <v>365</v>
      </c>
      <c r="B9" s="14" t="s">
        <v>360</v>
      </c>
      <c r="C9" s="14" t="s">
        <v>366</v>
      </c>
      <c r="D9" s="14"/>
      <c r="E9" s="14" t="s">
        <v>362</v>
      </c>
      <c r="F9" s="14"/>
      <c r="G9" s="14"/>
      <c r="H9" s="14"/>
      <c r="I9" s="14"/>
      <c r="J9" s="14" t="s">
        <v>122</v>
      </c>
      <c r="K9" s="14"/>
      <c r="L9" s="14"/>
      <c r="M9" s="14" t="s">
        <v>363</v>
      </c>
      <c r="N9" s="14"/>
      <c r="O9" s="14" t="s">
        <v>123</v>
      </c>
      <c r="P9" s="14" t="s">
        <v>364</v>
      </c>
    </row>
    <row r="10" customFormat="false" ht="15" hidden="false" customHeight="true" outlineLevel="0" collapsed="false">
      <c r="A10" s="6" t="s">
        <v>367</v>
      </c>
      <c r="B10" s="12" t="s">
        <v>368</v>
      </c>
      <c r="C10" s="12" t="s">
        <v>369</v>
      </c>
      <c r="D10" s="12"/>
      <c r="E10" s="12" t="s">
        <v>370</v>
      </c>
      <c r="F10" s="12"/>
      <c r="G10" s="12"/>
      <c r="H10" s="12"/>
      <c r="I10" s="12"/>
      <c r="J10" s="12" t="s">
        <v>122</v>
      </c>
      <c r="K10" s="12"/>
      <c r="L10" s="12"/>
      <c r="M10" s="12" t="s">
        <v>371</v>
      </c>
      <c r="N10" s="12"/>
      <c r="O10" s="12" t="s">
        <v>134</v>
      </c>
      <c r="P10" s="12"/>
    </row>
    <row r="11" customFormat="false" ht="15" hidden="false" customHeight="true" outlineLevel="0" collapsed="false">
      <c r="A11" s="13" t="s">
        <v>372</v>
      </c>
      <c r="B11" s="14" t="s">
        <v>373</v>
      </c>
      <c r="C11" s="14" t="s">
        <v>369</v>
      </c>
      <c r="D11" s="14"/>
      <c r="E11" s="14" t="s">
        <v>374</v>
      </c>
      <c r="F11" s="14"/>
      <c r="G11" s="14"/>
      <c r="H11" s="14"/>
      <c r="I11" s="14"/>
      <c r="J11" s="14" t="s">
        <v>122</v>
      </c>
      <c r="K11" s="14"/>
      <c r="L11" s="14"/>
      <c r="M11" s="14" t="s">
        <v>371</v>
      </c>
      <c r="N11" s="14"/>
      <c r="O11" s="14" t="s">
        <v>134</v>
      </c>
      <c r="P11" s="14"/>
    </row>
    <row r="12" customFormat="false" ht="15" hidden="false" customHeight="true" outlineLevel="0" collapsed="false">
      <c r="A12" s="6" t="s">
        <v>375</v>
      </c>
      <c r="B12" s="12" t="s">
        <v>376</v>
      </c>
      <c r="C12" s="12" t="s">
        <v>377</v>
      </c>
      <c r="D12" s="12"/>
      <c r="E12" s="12"/>
      <c r="F12" s="12"/>
      <c r="G12" s="12"/>
      <c r="H12" s="12"/>
      <c r="I12" s="12"/>
      <c r="J12" s="12" t="s">
        <v>122</v>
      </c>
      <c r="K12" s="12"/>
      <c r="L12" s="12"/>
      <c r="M12" s="12" t="s">
        <v>378</v>
      </c>
      <c r="N12" s="12"/>
      <c r="O12" s="12" t="s">
        <v>134</v>
      </c>
      <c r="P12" s="12"/>
    </row>
    <row r="13" customFormat="false" ht="15" hidden="false" customHeight="true" outlineLevel="0" collapsed="false">
      <c r="A13" s="13" t="s">
        <v>379</v>
      </c>
      <c r="B13" s="14" t="s">
        <v>376</v>
      </c>
      <c r="C13" s="14" t="s">
        <v>380</v>
      </c>
      <c r="D13" s="14"/>
      <c r="E13" s="14"/>
      <c r="F13" s="14"/>
      <c r="G13" s="14"/>
      <c r="H13" s="14"/>
      <c r="I13" s="14"/>
      <c r="J13" s="14" t="s">
        <v>122</v>
      </c>
      <c r="K13" s="14"/>
      <c r="L13" s="14"/>
      <c r="M13" s="14" t="s">
        <v>378</v>
      </c>
      <c r="N13" s="14"/>
      <c r="O13" s="14" t="s">
        <v>134</v>
      </c>
      <c r="P13" s="14"/>
    </row>
    <row r="14" customFormat="false" ht="15" hidden="false" customHeight="true" outlineLevel="0" collapsed="false">
      <c r="A14" s="6" t="s">
        <v>381</v>
      </c>
      <c r="B14" s="12" t="s">
        <v>382</v>
      </c>
      <c r="C14" s="12" t="s">
        <v>61</v>
      </c>
      <c r="D14" s="12"/>
      <c r="E14" s="12"/>
      <c r="F14" s="12"/>
      <c r="G14" s="12"/>
      <c r="H14" s="12"/>
      <c r="I14" s="12"/>
      <c r="J14" s="12" t="s">
        <v>122</v>
      </c>
      <c r="K14" s="12"/>
      <c r="L14" s="12"/>
      <c r="M14" s="12" t="s">
        <v>378</v>
      </c>
      <c r="N14" s="12"/>
      <c r="O14" s="12" t="s">
        <v>134</v>
      </c>
      <c r="P14" s="12"/>
    </row>
    <row r="15" customFormat="false" ht="15" hidden="false" customHeight="true" outlineLevel="0" collapsed="false">
      <c r="A15" s="13" t="s">
        <v>383</v>
      </c>
      <c r="B15" s="14" t="s">
        <v>384</v>
      </c>
      <c r="C15" s="14" t="s">
        <v>385</v>
      </c>
      <c r="D15" s="14"/>
      <c r="E15" s="14" t="s">
        <v>386</v>
      </c>
      <c r="F15" s="14"/>
      <c r="G15" s="14"/>
      <c r="H15" s="14"/>
      <c r="I15" s="14"/>
      <c r="J15" s="14" t="s">
        <v>260</v>
      </c>
      <c r="K15" s="14"/>
      <c r="L15" s="14"/>
      <c r="M15" s="14" t="s">
        <v>176</v>
      </c>
      <c r="N15" s="14"/>
      <c r="O15" s="14" t="s">
        <v>134</v>
      </c>
      <c r="P15" s="14"/>
    </row>
    <row r="16" customFormat="false" ht="15" hidden="false" customHeight="true" outlineLevel="0" collapsed="false">
      <c r="A16" s="6" t="s">
        <v>387</v>
      </c>
      <c r="B16" s="12" t="s">
        <v>384</v>
      </c>
      <c r="C16" s="12" t="s">
        <v>388</v>
      </c>
      <c r="D16" s="12"/>
      <c r="E16" s="12" t="s">
        <v>386</v>
      </c>
      <c r="F16" s="12"/>
      <c r="G16" s="12"/>
      <c r="H16" s="12"/>
      <c r="I16" s="12"/>
      <c r="J16" s="12" t="s">
        <v>260</v>
      </c>
      <c r="K16" s="12"/>
      <c r="L16" s="12"/>
      <c r="M16" s="12" t="s">
        <v>176</v>
      </c>
      <c r="N16" s="12"/>
      <c r="O16" s="12" t="s">
        <v>134</v>
      </c>
      <c r="P16" s="12"/>
    </row>
    <row r="17" customFormat="false" ht="15" hidden="false" customHeight="true" outlineLevel="0" collapsed="false">
      <c r="A17" s="13" t="s">
        <v>389</v>
      </c>
      <c r="B17" s="14" t="s">
        <v>390</v>
      </c>
      <c r="C17" s="14" t="s">
        <v>391</v>
      </c>
      <c r="D17" s="14"/>
      <c r="E17" s="14" t="s">
        <v>392</v>
      </c>
      <c r="F17" s="14"/>
      <c r="G17" s="14"/>
      <c r="H17" s="14"/>
      <c r="I17" s="14"/>
      <c r="J17" s="14" t="s">
        <v>260</v>
      </c>
      <c r="K17" s="14"/>
      <c r="L17" s="14"/>
      <c r="M17" s="14" t="s">
        <v>176</v>
      </c>
      <c r="N17" s="14"/>
      <c r="O17" s="14" t="s">
        <v>134</v>
      </c>
      <c r="P17" s="14" t="s">
        <v>393</v>
      </c>
    </row>
    <row r="18" customFormat="false" ht="15" hidden="false" customHeight="true" outlineLevel="0" collapsed="false">
      <c r="A18" s="6" t="s">
        <v>394</v>
      </c>
      <c r="B18" s="12" t="s">
        <v>395</v>
      </c>
      <c r="C18" s="12" t="s">
        <v>396</v>
      </c>
      <c r="D18" s="12"/>
      <c r="E18" s="12" t="s">
        <v>397</v>
      </c>
      <c r="F18" s="12"/>
      <c r="G18" s="12"/>
      <c r="H18" s="12"/>
      <c r="I18" s="12"/>
      <c r="J18" s="12" t="s">
        <v>122</v>
      </c>
      <c r="K18" s="12"/>
      <c r="L18" s="12"/>
      <c r="M18" s="12" t="s">
        <v>398</v>
      </c>
      <c r="N18" s="12"/>
      <c r="O18" s="12" t="s">
        <v>134</v>
      </c>
      <c r="P18" s="12" t="s">
        <v>399</v>
      </c>
    </row>
    <row r="19" customFormat="false" ht="15.75" hidden="false" customHeight="true" outlineLevel="0" collapsed="false">
      <c r="A19" s="15" t="s">
        <v>400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1" customFormat="false" ht="19.5" hidden="false" customHeight="true" outlineLevel="0" collapsed="false">
      <c r="A21" s="4" t="s">
        <v>401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customFormat="false" ht="15" hidden="false" customHeight="true" outlineLevel="0" collapsed="false">
      <c r="A22" s="5" t="s">
        <v>402</v>
      </c>
      <c r="B22" s="5"/>
      <c r="C22" s="5"/>
      <c r="D22" s="5"/>
      <c r="E22" s="16" t="n">
        <f aca="false">SUM(D4:D18)</f>
        <v>0</v>
      </c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</row>
    <row r="23" customFormat="false" ht="15" hidden="false" customHeight="true" outlineLevel="0" collapsed="false">
      <c r="A23" s="5" t="s">
        <v>403</v>
      </c>
      <c r="B23" s="5"/>
      <c r="C23" s="5"/>
      <c r="D23" s="5"/>
      <c r="E23" s="16" t="n">
        <f aca="false">SUM(F4:F18)</f>
        <v>0</v>
      </c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7"/>
    </row>
    <row r="24" customFormat="false" ht="15" hidden="false" customHeight="true" outlineLevel="0" collapsed="false">
      <c r="A24" s="5" t="s">
        <v>404</v>
      </c>
      <c r="B24" s="5"/>
      <c r="C24" s="5"/>
      <c r="D24" s="5"/>
      <c r="E24" s="16" t="n">
        <f aca="false">COUNTIF(O4:O18,"Yes")</f>
        <v>2</v>
      </c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7"/>
    </row>
    <row r="25" customFormat="false" ht="15" hidden="false" customHeight="true" outlineLevel="0" collapsed="false">
      <c r="A25" s="5" t="s">
        <v>405</v>
      </c>
      <c r="B25" s="5"/>
      <c r="C25" s="5"/>
      <c r="D25" s="5"/>
      <c r="E25" s="16" t="n">
        <f aca="false">COUNTIF(O4:O18,"No")</f>
        <v>13</v>
      </c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7"/>
    </row>
    <row r="26" customFormat="false" ht="15" hidden="false" customHeight="true" outlineLevel="0" collapsed="false">
      <c r="A26" s="5" t="s">
        <v>406</v>
      </c>
      <c r="B26" s="5"/>
      <c r="C26" s="5"/>
      <c r="D26" s="5"/>
      <c r="E26" s="16" t="n">
        <f aca="false">COUNTA(A4:A18)</f>
        <v>15</v>
      </c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7"/>
    </row>
    <row r="27" customFormat="false" ht="15" hidden="false" customHeight="true" outlineLevel="0" collapsed="false">
      <c r="A27" s="5" t="s">
        <v>407</v>
      </c>
      <c r="B27" s="5"/>
      <c r="C27" s="5"/>
      <c r="D27" s="5"/>
      <c r="E27" s="16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</row>
    <row r="29" customFormat="false" ht="4.5" hidden="false" customHeight="true" outlineLevel="0" collapsed="false"/>
    <row r="30" customFormat="false" ht="13.5" hidden="false" customHeight="true" outlineLevel="0" collapsed="false">
      <c r="A30" s="9" t="s">
        <v>29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</sheetData>
  <mergeCells count="18">
    <mergeCell ref="A1:H1"/>
    <mergeCell ref="I1:P1"/>
    <mergeCell ref="A2:P2"/>
    <mergeCell ref="A19:P19"/>
    <mergeCell ref="A21:P21"/>
    <mergeCell ref="A22:D22"/>
    <mergeCell ref="E22:H22"/>
    <mergeCell ref="A23:D23"/>
    <mergeCell ref="E23:H23"/>
    <mergeCell ref="A24:D24"/>
    <mergeCell ref="E24:H24"/>
    <mergeCell ref="A25:D25"/>
    <mergeCell ref="E25:H25"/>
    <mergeCell ref="A26:D26"/>
    <mergeCell ref="E26:H26"/>
    <mergeCell ref="A27:D27"/>
    <mergeCell ref="E27:H27"/>
    <mergeCell ref="A30:P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408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27.75" hidden="false" customHeight="true" outlineLevel="0" collapsed="false">
      <c r="A3" s="11" t="s">
        <v>32</v>
      </c>
      <c r="B3" s="11" t="s">
        <v>33</v>
      </c>
      <c r="C3" s="11" t="s">
        <v>409</v>
      </c>
      <c r="D3" s="11" t="s">
        <v>410</v>
      </c>
      <c r="E3" s="11" t="s">
        <v>411</v>
      </c>
      <c r="F3" s="11" t="s">
        <v>339</v>
      </c>
      <c r="G3" s="11" t="s">
        <v>99</v>
      </c>
      <c r="H3" s="11" t="s">
        <v>412</v>
      </c>
      <c r="I3" s="11" t="s">
        <v>102</v>
      </c>
      <c r="J3" s="11" t="s">
        <v>413</v>
      </c>
      <c r="K3" s="11" t="s">
        <v>414</v>
      </c>
      <c r="L3" s="11" t="s">
        <v>415</v>
      </c>
      <c r="M3" s="11" t="s">
        <v>416</v>
      </c>
      <c r="N3" s="11" t="s">
        <v>417</v>
      </c>
      <c r="O3" s="11" t="s">
        <v>418</v>
      </c>
      <c r="P3" s="11" t="s">
        <v>47</v>
      </c>
    </row>
    <row r="4" customFormat="false" ht="15" hidden="false" customHeight="true" outlineLevel="0" collapsed="false">
      <c r="A4" s="6" t="s">
        <v>419</v>
      </c>
      <c r="B4" s="12" t="s">
        <v>420</v>
      </c>
      <c r="C4" s="12" t="s">
        <v>421</v>
      </c>
      <c r="D4" s="12"/>
      <c r="E4" s="12"/>
      <c r="F4" s="12"/>
      <c r="G4" s="12" t="s">
        <v>145</v>
      </c>
      <c r="H4" s="12" t="s">
        <v>422</v>
      </c>
      <c r="I4" s="12" t="s">
        <v>145</v>
      </c>
      <c r="J4" s="12" t="s">
        <v>228</v>
      </c>
      <c r="K4" s="12"/>
      <c r="L4" s="12"/>
      <c r="M4" s="12" t="s">
        <v>423</v>
      </c>
      <c r="N4" s="12" t="s">
        <v>424</v>
      </c>
      <c r="O4" s="12" t="s">
        <v>425</v>
      </c>
      <c r="P4" s="12"/>
    </row>
    <row r="5" customFormat="false" ht="15" hidden="false" customHeight="true" outlineLevel="0" collapsed="false">
      <c r="A5" s="13" t="s">
        <v>426</v>
      </c>
      <c r="B5" s="14" t="s">
        <v>420</v>
      </c>
      <c r="C5" s="14" t="s">
        <v>427</v>
      </c>
      <c r="D5" s="14"/>
      <c r="E5" s="14"/>
      <c r="F5" s="14"/>
      <c r="G5" s="14" t="s">
        <v>145</v>
      </c>
      <c r="H5" s="14" t="s">
        <v>422</v>
      </c>
      <c r="I5" s="14" t="s">
        <v>145</v>
      </c>
      <c r="J5" s="14" t="s">
        <v>228</v>
      </c>
      <c r="K5" s="14"/>
      <c r="L5" s="14"/>
      <c r="M5" s="14" t="s">
        <v>423</v>
      </c>
      <c r="N5" s="14" t="s">
        <v>424</v>
      </c>
      <c r="O5" s="14" t="s">
        <v>425</v>
      </c>
      <c r="P5" s="14"/>
    </row>
    <row r="6" customFormat="false" ht="15" hidden="false" customHeight="true" outlineLevel="0" collapsed="false">
      <c r="A6" s="6" t="s">
        <v>428</v>
      </c>
      <c r="B6" s="12" t="s">
        <v>429</v>
      </c>
      <c r="C6" s="12" t="s">
        <v>430</v>
      </c>
      <c r="D6" s="12"/>
      <c r="E6" s="12"/>
      <c r="F6" s="12"/>
      <c r="G6" s="12"/>
      <c r="H6" s="12" t="s">
        <v>431</v>
      </c>
      <c r="I6" s="12"/>
      <c r="J6" s="12" t="s">
        <v>227</v>
      </c>
      <c r="K6" s="12"/>
      <c r="L6" s="12"/>
      <c r="M6" s="12" t="s">
        <v>423</v>
      </c>
      <c r="N6" s="12" t="s">
        <v>424</v>
      </c>
      <c r="O6" s="12" t="s">
        <v>425</v>
      </c>
      <c r="P6" s="12"/>
    </row>
    <row r="7" customFormat="false" ht="15" hidden="false" customHeight="true" outlineLevel="0" collapsed="false">
      <c r="A7" s="13" t="s">
        <v>432</v>
      </c>
      <c r="B7" s="14" t="s">
        <v>429</v>
      </c>
      <c r="C7" s="14" t="s">
        <v>150</v>
      </c>
      <c r="D7" s="14"/>
      <c r="E7" s="14"/>
      <c r="F7" s="14"/>
      <c r="G7" s="14"/>
      <c r="H7" s="14" t="s">
        <v>431</v>
      </c>
      <c r="I7" s="14"/>
      <c r="J7" s="14" t="s">
        <v>227</v>
      </c>
      <c r="K7" s="14"/>
      <c r="L7" s="14"/>
      <c r="M7" s="14" t="s">
        <v>423</v>
      </c>
      <c r="N7" s="14" t="s">
        <v>424</v>
      </c>
      <c r="O7" s="14" t="s">
        <v>425</v>
      </c>
      <c r="P7" s="14"/>
    </row>
    <row r="8" customFormat="false" ht="15" hidden="false" customHeight="true" outlineLevel="0" collapsed="false">
      <c r="A8" s="6" t="s">
        <v>433</v>
      </c>
      <c r="B8" s="12" t="s">
        <v>420</v>
      </c>
      <c r="C8" s="12" t="s">
        <v>434</v>
      </c>
      <c r="D8" s="12"/>
      <c r="E8" s="12"/>
      <c r="F8" s="12"/>
      <c r="G8" s="12" t="s">
        <v>145</v>
      </c>
      <c r="H8" s="12" t="s">
        <v>422</v>
      </c>
      <c r="I8" s="12" t="s">
        <v>145</v>
      </c>
      <c r="J8" s="12" t="s">
        <v>228</v>
      </c>
      <c r="K8" s="12"/>
      <c r="L8" s="12"/>
      <c r="M8" s="12" t="s">
        <v>423</v>
      </c>
      <c r="N8" s="12" t="s">
        <v>424</v>
      </c>
      <c r="O8" s="12" t="s">
        <v>425</v>
      </c>
      <c r="P8" s="12"/>
    </row>
    <row r="9" customFormat="false" ht="15" hidden="false" customHeight="true" outlineLevel="0" collapsed="false">
      <c r="A9" s="13" t="s">
        <v>435</v>
      </c>
      <c r="B9" s="14" t="s">
        <v>420</v>
      </c>
      <c r="C9" s="14" t="s">
        <v>436</v>
      </c>
      <c r="D9" s="14"/>
      <c r="E9" s="14"/>
      <c r="F9" s="14"/>
      <c r="G9" s="14" t="s">
        <v>145</v>
      </c>
      <c r="H9" s="14" t="s">
        <v>422</v>
      </c>
      <c r="I9" s="14" t="s">
        <v>145</v>
      </c>
      <c r="J9" s="14" t="s">
        <v>228</v>
      </c>
      <c r="K9" s="14"/>
      <c r="L9" s="14"/>
      <c r="M9" s="14" t="s">
        <v>423</v>
      </c>
      <c r="N9" s="14" t="s">
        <v>424</v>
      </c>
      <c r="O9" s="14" t="s">
        <v>425</v>
      </c>
      <c r="P9" s="14"/>
    </row>
    <row r="10" customFormat="false" ht="15" hidden="false" customHeight="true" outlineLevel="0" collapsed="false">
      <c r="A10" s="6" t="s">
        <v>437</v>
      </c>
      <c r="B10" s="12" t="s">
        <v>429</v>
      </c>
      <c r="C10" s="12" t="s">
        <v>438</v>
      </c>
      <c r="D10" s="12"/>
      <c r="E10" s="12"/>
      <c r="F10" s="12"/>
      <c r="G10" s="12"/>
      <c r="H10" s="12" t="s">
        <v>431</v>
      </c>
      <c r="I10" s="12"/>
      <c r="J10" s="12" t="s">
        <v>227</v>
      </c>
      <c r="K10" s="12"/>
      <c r="L10" s="12"/>
      <c r="M10" s="12" t="s">
        <v>423</v>
      </c>
      <c r="N10" s="12" t="s">
        <v>424</v>
      </c>
      <c r="O10" s="12" t="s">
        <v>425</v>
      </c>
      <c r="P10" s="12"/>
    </row>
    <row r="11" customFormat="false" ht="15" hidden="false" customHeight="true" outlineLevel="0" collapsed="false">
      <c r="A11" s="13" t="s">
        <v>439</v>
      </c>
      <c r="B11" s="14" t="s">
        <v>429</v>
      </c>
      <c r="C11" s="14" t="s">
        <v>440</v>
      </c>
      <c r="D11" s="14"/>
      <c r="E11" s="14"/>
      <c r="F11" s="14"/>
      <c r="G11" s="14"/>
      <c r="H11" s="14" t="s">
        <v>431</v>
      </c>
      <c r="I11" s="14"/>
      <c r="J11" s="14" t="s">
        <v>227</v>
      </c>
      <c r="K11" s="14"/>
      <c r="L11" s="14"/>
      <c r="M11" s="14" t="s">
        <v>423</v>
      </c>
      <c r="N11" s="14" t="s">
        <v>424</v>
      </c>
      <c r="O11" s="14" t="s">
        <v>425</v>
      </c>
      <c r="P11" s="14"/>
    </row>
    <row r="12" customFormat="false" ht="15" hidden="false" customHeight="true" outlineLevel="0" collapsed="false">
      <c r="A12" s="6" t="s">
        <v>441</v>
      </c>
      <c r="B12" s="12" t="s">
        <v>442</v>
      </c>
      <c r="C12" s="12" t="s">
        <v>443</v>
      </c>
      <c r="D12" s="12"/>
      <c r="E12" s="12"/>
      <c r="F12" s="12"/>
      <c r="G12" s="12"/>
      <c r="H12" s="12" t="s">
        <v>444</v>
      </c>
      <c r="I12" s="12" t="s">
        <v>145</v>
      </c>
      <c r="J12" s="12" t="s">
        <v>228</v>
      </c>
      <c r="K12" s="12"/>
      <c r="L12" s="12"/>
      <c r="M12" s="12" t="s">
        <v>423</v>
      </c>
      <c r="N12" s="12" t="s">
        <v>424</v>
      </c>
      <c r="O12" s="12" t="s">
        <v>425</v>
      </c>
      <c r="P12" s="12"/>
    </row>
    <row r="13" customFormat="false" ht="15" hidden="false" customHeight="true" outlineLevel="0" collapsed="false">
      <c r="A13" s="13" t="s">
        <v>445</v>
      </c>
      <c r="B13" s="14" t="s">
        <v>442</v>
      </c>
      <c r="C13" s="14" t="s">
        <v>446</v>
      </c>
      <c r="D13" s="14"/>
      <c r="E13" s="14"/>
      <c r="F13" s="14"/>
      <c r="G13" s="14"/>
      <c r="H13" s="14" t="s">
        <v>444</v>
      </c>
      <c r="I13" s="14" t="s">
        <v>145</v>
      </c>
      <c r="J13" s="14" t="s">
        <v>228</v>
      </c>
      <c r="K13" s="14"/>
      <c r="L13" s="14"/>
      <c r="M13" s="14" t="s">
        <v>423</v>
      </c>
      <c r="N13" s="14" t="s">
        <v>424</v>
      </c>
      <c r="O13" s="14" t="s">
        <v>425</v>
      </c>
      <c r="P13" s="14"/>
    </row>
    <row r="14" customFormat="false" ht="15" hidden="false" customHeight="true" outlineLevel="0" collapsed="false">
      <c r="A14" s="6" t="s">
        <v>447</v>
      </c>
      <c r="B14" s="12" t="s">
        <v>448</v>
      </c>
      <c r="C14" s="12" t="s">
        <v>449</v>
      </c>
      <c r="D14" s="12"/>
      <c r="E14" s="12"/>
      <c r="F14" s="12"/>
      <c r="G14" s="12" t="s">
        <v>145</v>
      </c>
      <c r="H14" s="12" t="s">
        <v>422</v>
      </c>
      <c r="I14" s="12" t="s">
        <v>145</v>
      </c>
      <c r="J14" s="12" t="s">
        <v>228</v>
      </c>
      <c r="K14" s="12"/>
      <c r="L14" s="12"/>
      <c r="M14" s="12" t="s">
        <v>423</v>
      </c>
      <c r="N14" s="12" t="s">
        <v>424</v>
      </c>
      <c r="O14" s="12" t="s">
        <v>425</v>
      </c>
      <c r="P14" s="12" t="s">
        <v>450</v>
      </c>
    </row>
    <row r="15" customFormat="false" ht="15" hidden="false" customHeight="true" outlineLevel="0" collapsed="false">
      <c r="A15" s="13" t="s">
        <v>451</v>
      </c>
      <c r="B15" s="14" t="s">
        <v>448</v>
      </c>
      <c r="C15" s="14" t="s">
        <v>452</v>
      </c>
      <c r="D15" s="14"/>
      <c r="E15" s="14"/>
      <c r="F15" s="14"/>
      <c r="G15" s="14" t="s">
        <v>145</v>
      </c>
      <c r="H15" s="14" t="s">
        <v>422</v>
      </c>
      <c r="I15" s="14" t="s">
        <v>145</v>
      </c>
      <c r="J15" s="14" t="s">
        <v>228</v>
      </c>
      <c r="K15" s="14"/>
      <c r="L15" s="14"/>
      <c r="M15" s="14" t="s">
        <v>423</v>
      </c>
      <c r="N15" s="14" t="s">
        <v>424</v>
      </c>
      <c r="O15" s="14" t="s">
        <v>425</v>
      </c>
      <c r="P15" s="14" t="s">
        <v>450</v>
      </c>
    </row>
    <row r="16" customFormat="false" ht="15" hidden="false" customHeight="true" outlineLevel="0" collapsed="false">
      <c r="A16" s="6" t="s">
        <v>453</v>
      </c>
      <c r="B16" s="12" t="s">
        <v>454</v>
      </c>
      <c r="C16" s="12" t="s">
        <v>455</v>
      </c>
      <c r="D16" s="12"/>
      <c r="E16" s="12"/>
      <c r="F16" s="12"/>
      <c r="G16" s="12"/>
      <c r="H16" s="12" t="s">
        <v>431</v>
      </c>
      <c r="I16" s="12"/>
      <c r="J16" s="12" t="s">
        <v>227</v>
      </c>
      <c r="K16" s="12"/>
      <c r="L16" s="12"/>
      <c r="M16" s="12" t="s">
        <v>423</v>
      </c>
      <c r="N16" s="12" t="s">
        <v>424</v>
      </c>
      <c r="O16" s="12" t="s">
        <v>425</v>
      </c>
      <c r="P16" s="12"/>
    </row>
    <row r="17" customFormat="false" ht="15" hidden="false" customHeight="true" outlineLevel="0" collapsed="false">
      <c r="A17" s="13" t="s">
        <v>456</v>
      </c>
      <c r="B17" s="14" t="s">
        <v>454</v>
      </c>
      <c r="C17" s="14" t="s">
        <v>457</v>
      </c>
      <c r="D17" s="14"/>
      <c r="E17" s="14"/>
      <c r="F17" s="14"/>
      <c r="G17" s="14"/>
      <c r="H17" s="14" t="s">
        <v>431</v>
      </c>
      <c r="I17" s="14"/>
      <c r="J17" s="14" t="s">
        <v>227</v>
      </c>
      <c r="K17" s="14"/>
      <c r="L17" s="14"/>
      <c r="M17" s="14" t="s">
        <v>423</v>
      </c>
      <c r="N17" s="14" t="s">
        <v>424</v>
      </c>
      <c r="O17" s="14" t="s">
        <v>425</v>
      </c>
      <c r="P17" s="14"/>
    </row>
    <row r="18" customFormat="false" ht="15" hidden="false" customHeight="true" outlineLevel="0" collapsed="false">
      <c r="A18" s="6" t="s">
        <v>458</v>
      </c>
      <c r="B18" s="12" t="s">
        <v>459</v>
      </c>
      <c r="C18" s="12" t="s">
        <v>460</v>
      </c>
      <c r="D18" s="12"/>
      <c r="E18" s="12"/>
      <c r="F18" s="12"/>
      <c r="G18" s="12"/>
      <c r="H18" s="12" t="s">
        <v>431</v>
      </c>
      <c r="I18" s="12"/>
      <c r="J18" s="12" t="s">
        <v>227</v>
      </c>
      <c r="K18" s="12"/>
      <c r="L18" s="12"/>
      <c r="M18" s="12" t="s">
        <v>423</v>
      </c>
      <c r="N18" s="12" t="s">
        <v>424</v>
      </c>
      <c r="O18" s="12" t="s">
        <v>425</v>
      </c>
      <c r="P18" s="12"/>
    </row>
    <row r="19" customFormat="false" ht="15" hidden="false" customHeight="true" outlineLevel="0" collapsed="false">
      <c r="A19" s="13" t="s">
        <v>461</v>
      </c>
      <c r="B19" s="14" t="s">
        <v>462</v>
      </c>
      <c r="C19" s="14" t="s">
        <v>143</v>
      </c>
      <c r="D19" s="14"/>
      <c r="E19" s="14"/>
      <c r="F19" s="14"/>
      <c r="G19" s="14"/>
      <c r="H19" s="14" t="s">
        <v>463</v>
      </c>
      <c r="I19" s="14"/>
      <c r="J19" s="14" t="s">
        <v>227</v>
      </c>
      <c r="K19" s="14"/>
      <c r="L19" s="14"/>
      <c r="M19" s="14" t="s">
        <v>464</v>
      </c>
      <c r="N19" s="14" t="s">
        <v>465</v>
      </c>
      <c r="O19" s="14" t="s">
        <v>145</v>
      </c>
      <c r="P19" s="14"/>
    </row>
    <row r="20" customFormat="false" ht="15" hidden="false" customHeight="true" outlineLevel="0" collapsed="false">
      <c r="A20" s="6" t="s">
        <v>466</v>
      </c>
      <c r="B20" s="12" t="s">
        <v>467</v>
      </c>
      <c r="C20" s="12" t="s">
        <v>148</v>
      </c>
      <c r="D20" s="12"/>
      <c r="E20" s="12"/>
      <c r="F20" s="12"/>
      <c r="G20" s="12"/>
      <c r="H20" s="12" t="s">
        <v>468</v>
      </c>
      <c r="I20" s="12"/>
      <c r="J20" s="12" t="s">
        <v>227</v>
      </c>
      <c r="K20" s="12"/>
      <c r="L20" s="12"/>
      <c r="M20" s="12" t="s">
        <v>464</v>
      </c>
      <c r="N20" s="12" t="s">
        <v>465</v>
      </c>
      <c r="O20" s="12" t="s">
        <v>145</v>
      </c>
      <c r="P20" s="12"/>
    </row>
    <row r="21" customFormat="false" ht="15" hidden="false" customHeight="true" outlineLevel="0" collapsed="false">
      <c r="A21" s="13" t="s">
        <v>469</v>
      </c>
      <c r="B21" s="14" t="s">
        <v>470</v>
      </c>
      <c r="C21" s="14" t="s">
        <v>369</v>
      </c>
      <c r="D21" s="14"/>
      <c r="E21" s="14"/>
      <c r="F21" s="14"/>
      <c r="G21" s="14"/>
      <c r="H21" s="14" t="s">
        <v>431</v>
      </c>
      <c r="I21" s="14"/>
      <c r="J21" s="14" t="s">
        <v>227</v>
      </c>
      <c r="K21" s="14"/>
      <c r="L21" s="14"/>
      <c r="M21" s="14" t="s">
        <v>423</v>
      </c>
      <c r="N21" s="14" t="s">
        <v>424</v>
      </c>
      <c r="O21" s="14" t="s">
        <v>425</v>
      </c>
      <c r="P21" s="14"/>
    </row>
    <row r="22" customFormat="false" ht="15" hidden="false" customHeight="true" outlineLevel="0" collapsed="false">
      <c r="A22" s="6" t="s">
        <v>471</v>
      </c>
      <c r="B22" s="12" t="s">
        <v>472</v>
      </c>
      <c r="C22" s="12" t="s">
        <v>152</v>
      </c>
      <c r="D22" s="12"/>
      <c r="E22" s="12"/>
      <c r="F22" s="12"/>
      <c r="G22" s="12"/>
      <c r="H22" s="12" t="s">
        <v>431</v>
      </c>
      <c r="I22" s="12"/>
      <c r="J22" s="12" t="s">
        <v>227</v>
      </c>
      <c r="K22" s="12"/>
      <c r="L22" s="12"/>
      <c r="M22" s="12" t="s">
        <v>423</v>
      </c>
      <c r="N22" s="12" t="s">
        <v>424</v>
      </c>
      <c r="O22" s="12" t="s">
        <v>425</v>
      </c>
      <c r="P22" s="12"/>
    </row>
    <row r="23" customFormat="false" ht="15" hidden="false" customHeight="true" outlineLevel="0" collapsed="false">
      <c r="A23" s="13" t="s">
        <v>473</v>
      </c>
      <c r="B23" s="14" t="s">
        <v>474</v>
      </c>
      <c r="C23" s="14" t="s">
        <v>475</v>
      </c>
      <c r="D23" s="14"/>
      <c r="E23" s="14"/>
      <c r="F23" s="14"/>
      <c r="G23" s="14" t="s">
        <v>145</v>
      </c>
      <c r="H23" s="14" t="s">
        <v>476</v>
      </c>
      <c r="I23" s="14" t="s">
        <v>145</v>
      </c>
      <c r="J23" s="14" t="s">
        <v>228</v>
      </c>
      <c r="K23" s="14"/>
      <c r="L23" s="14"/>
      <c r="M23" s="14" t="s">
        <v>477</v>
      </c>
      <c r="N23" s="14" t="s">
        <v>478</v>
      </c>
      <c r="O23" s="14" t="s">
        <v>145</v>
      </c>
      <c r="P23" s="14"/>
    </row>
    <row r="24" customFormat="false" ht="15.75" hidden="false" customHeight="true" outlineLevel="0" collapsed="false">
      <c r="A24" s="15" t="s">
        <v>479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6" customFormat="false" ht="19.5" hidden="false" customHeight="true" outlineLevel="0" collapsed="false">
      <c r="A26" s="4" t="s">
        <v>480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" hidden="false" customHeight="true" outlineLevel="0" collapsed="false">
      <c r="A27" s="5" t="s">
        <v>481</v>
      </c>
      <c r="B27" s="5"/>
      <c r="C27" s="5"/>
      <c r="D27" s="5"/>
      <c r="E27" s="16" t="n">
        <f aca="false">COUNTA(A4:A23)</f>
        <v>20</v>
      </c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</row>
    <row r="28" customFormat="false" ht="15" hidden="false" customHeight="true" outlineLevel="0" collapsed="false">
      <c r="A28" s="5" t="s">
        <v>482</v>
      </c>
      <c r="B28" s="5"/>
      <c r="C28" s="5"/>
      <c r="D28" s="5"/>
      <c r="E28" s="16" t="n">
        <f aca="false">COUNTIF(B4:B23,"VAV – Cooling Only")</f>
        <v>4</v>
      </c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7"/>
    </row>
    <row r="29" customFormat="false" ht="15" hidden="false" customHeight="true" outlineLevel="0" collapsed="false">
      <c r="A29" s="5" t="s">
        <v>483</v>
      </c>
      <c r="B29" s="5"/>
      <c r="C29" s="5"/>
      <c r="D29" s="5"/>
      <c r="E29" s="16" t="n">
        <f aca="false">COUNTIF(C4:C23,"VAV – HW Reheat")</f>
        <v>0</v>
      </c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7"/>
    </row>
    <row r="30" customFormat="false" ht="15" hidden="false" customHeight="true" outlineLevel="0" collapsed="false">
      <c r="A30" s="5" t="s">
        <v>484</v>
      </c>
      <c r="B30" s="5"/>
      <c r="C30" s="5"/>
      <c r="D30" s="5"/>
      <c r="E30" s="16" t="n">
        <f aca="false">COUNTIF(B4:B23,"FPB*")</f>
        <v>0</v>
      </c>
      <c r="F30" s="16"/>
      <c r="G30" s="16"/>
      <c r="H30" s="16"/>
      <c r="I30" s="17"/>
      <c r="J30" s="17"/>
      <c r="K30" s="17"/>
      <c r="L30" s="17"/>
      <c r="M30" s="17"/>
      <c r="N30" s="17"/>
      <c r="O30" s="17"/>
      <c r="P30" s="17"/>
    </row>
    <row r="31" customFormat="false" ht="15" hidden="false" customHeight="true" outlineLevel="0" collapsed="false">
      <c r="A31" s="5" t="s">
        <v>485</v>
      </c>
      <c r="B31" s="5"/>
      <c r="C31" s="5"/>
      <c r="D31" s="5"/>
      <c r="E31" s="16" t="n">
        <f aca="false">SUM(F4:F23)</f>
        <v>0</v>
      </c>
      <c r="F31" s="16"/>
      <c r="G31" s="16"/>
      <c r="H31" s="16"/>
      <c r="I31" s="17"/>
      <c r="J31" s="17"/>
      <c r="K31" s="17"/>
      <c r="L31" s="17"/>
      <c r="M31" s="17"/>
      <c r="N31" s="17"/>
      <c r="O31" s="17"/>
      <c r="P31" s="17"/>
    </row>
    <row r="32" customFormat="false" ht="15" hidden="false" customHeight="true" outlineLevel="0" collapsed="false">
      <c r="A32" s="5" t="s">
        <v>486</v>
      </c>
      <c r="B32" s="5"/>
      <c r="C32" s="5"/>
      <c r="D32" s="5"/>
      <c r="E32" s="16" t="n">
        <f aca="false">SUM(D4:D23)</f>
        <v>0</v>
      </c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</row>
    <row r="34" customFormat="false" ht="4.5" hidden="false" customHeight="true" outlineLevel="0" collapsed="false"/>
    <row r="35" customFormat="false" ht="13.5" hidden="false" customHeight="true" outlineLevel="0" collapsed="false">
      <c r="A35" s="9" t="s">
        <v>29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</sheetData>
  <mergeCells count="18">
    <mergeCell ref="A1:H1"/>
    <mergeCell ref="I1:P1"/>
    <mergeCell ref="A2:P2"/>
    <mergeCell ref="A24:P24"/>
    <mergeCell ref="A26:P26"/>
    <mergeCell ref="A27:D27"/>
    <mergeCell ref="E27:H27"/>
    <mergeCell ref="A28:D28"/>
    <mergeCell ref="E28:H28"/>
    <mergeCell ref="A29:D29"/>
    <mergeCell ref="E29:H29"/>
    <mergeCell ref="A30:D30"/>
    <mergeCell ref="E30:H30"/>
    <mergeCell ref="A31:D31"/>
    <mergeCell ref="E31:H31"/>
    <mergeCell ref="A32:D32"/>
    <mergeCell ref="E32:H32"/>
    <mergeCell ref="A35:P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15" min="4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487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27.75" hidden="false" customHeight="true" outlineLevel="0" collapsed="false">
      <c r="A3" s="11" t="s">
        <v>32</v>
      </c>
      <c r="B3" s="11" t="s">
        <v>33</v>
      </c>
      <c r="C3" s="11" t="s">
        <v>34</v>
      </c>
      <c r="D3" s="11" t="s">
        <v>87</v>
      </c>
      <c r="E3" s="11" t="s">
        <v>88</v>
      </c>
      <c r="F3" s="11" t="s">
        <v>89</v>
      </c>
      <c r="G3" s="11" t="s">
        <v>114</v>
      </c>
      <c r="H3" s="11" t="s">
        <v>488</v>
      </c>
      <c r="I3" s="11" t="s">
        <v>489</v>
      </c>
      <c r="J3" s="11" t="s">
        <v>490</v>
      </c>
      <c r="K3" s="11" t="s">
        <v>491</v>
      </c>
      <c r="L3" s="11" t="s">
        <v>492</v>
      </c>
      <c r="M3" s="11" t="s">
        <v>493</v>
      </c>
      <c r="N3" s="11" t="s">
        <v>494</v>
      </c>
      <c r="O3" s="11" t="s">
        <v>90</v>
      </c>
      <c r="P3" s="11" t="s">
        <v>47</v>
      </c>
    </row>
    <row r="4" customFormat="false" ht="15" hidden="false" customHeight="true" outlineLevel="0" collapsed="false">
      <c r="A4" s="6" t="s">
        <v>48</v>
      </c>
      <c r="B4" s="12" t="s">
        <v>49</v>
      </c>
      <c r="C4" s="12" t="s">
        <v>50</v>
      </c>
      <c r="D4" s="12" t="s">
        <v>495</v>
      </c>
      <c r="E4" s="12" t="s">
        <v>496</v>
      </c>
      <c r="F4" s="12" t="s">
        <v>497</v>
      </c>
      <c r="G4" s="12"/>
      <c r="H4" s="12"/>
      <c r="I4" s="12"/>
      <c r="J4" s="12"/>
      <c r="K4" s="12"/>
      <c r="L4" s="12"/>
      <c r="M4" s="12" t="s">
        <v>498</v>
      </c>
      <c r="N4" s="12"/>
      <c r="O4" s="12" t="s">
        <v>123</v>
      </c>
      <c r="P4" s="12"/>
    </row>
    <row r="5" customFormat="false" ht="15" hidden="false" customHeight="true" outlineLevel="0" collapsed="false">
      <c r="A5" s="13" t="s">
        <v>56</v>
      </c>
      <c r="B5" s="14" t="s">
        <v>49</v>
      </c>
      <c r="C5" s="14" t="s">
        <v>57</v>
      </c>
      <c r="D5" s="14" t="s">
        <v>495</v>
      </c>
      <c r="E5" s="14" t="s">
        <v>496</v>
      </c>
      <c r="F5" s="14" t="s">
        <v>497</v>
      </c>
      <c r="G5" s="14"/>
      <c r="H5" s="14"/>
      <c r="I5" s="14"/>
      <c r="J5" s="14"/>
      <c r="K5" s="14"/>
      <c r="L5" s="14"/>
      <c r="M5" s="14" t="s">
        <v>498</v>
      </c>
      <c r="N5" s="14"/>
      <c r="O5" s="14" t="s">
        <v>123</v>
      </c>
      <c r="P5" s="14"/>
    </row>
    <row r="6" customFormat="false" ht="15" hidden="false" customHeight="true" outlineLevel="0" collapsed="false">
      <c r="A6" s="6" t="s">
        <v>60</v>
      </c>
      <c r="B6" s="12" t="s">
        <v>49</v>
      </c>
      <c r="C6" s="12" t="s">
        <v>61</v>
      </c>
      <c r="D6" s="12" t="s">
        <v>495</v>
      </c>
      <c r="E6" s="12" t="s">
        <v>496</v>
      </c>
      <c r="F6" s="12" t="s">
        <v>497</v>
      </c>
      <c r="G6" s="12"/>
      <c r="H6" s="12"/>
      <c r="I6" s="12"/>
      <c r="J6" s="12"/>
      <c r="K6" s="12"/>
      <c r="L6" s="12"/>
      <c r="M6" s="12" t="s">
        <v>499</v>
      </c>
      <c r="N6" s="12"/>
      <c r="O6" s="12" t="s">
        <v>123</v>
      </c>
      <c r="P6" s="12"/>
    </row>
    <row r="7" customFormat="false" ht="15" hidden="false" customHeight="true" outlineLevel="0" collapsed="false">
      <c r="A7" s="13" t="s">
        <v>117</v>
      </c>
      <c r="B7" s="14" t="s">
        <v>118</v>
      </c>
      <c r="C7" s="14" t="s">
        <v>377</v>
      </c>
      <c r="D7" s="14" t="s">
        <v>495</v>
      </c>
      <c r="E7" s="14" t="s">
        <v>496</v>
      </c>
      <c r="F7" s="14" t="s">
        <v>497</v>
      </c>
      <c r="G7" s="14"/>
      <c r="H7" s="14"/>
      <c r="I7" s="14"/>
      <c r="J7" s="14"/>
      <c r="K7" s="14"/>
      <c r="L7" s="14"/>
      <c r="M7" s="14" t="s">
        <v>500</v>
      </c>
      <c r="N7" s="14"/>
      <c r="O7" s="14" t="s">
        <v>134</v>
      </c>
      <c r="P7" s="14"/>
    </row>
    <row r="8" customFormat="false" ht="15" hidden="false" customHeight="true" outlineLevel="0" collapsed="false">
      <c r="A8" s="6" t="s">
        <v>124</v>
      </c>
      <c r="B8" s="12" t="s">
        <v>118</v>
      </c>
      <c r="C8" s="12" t="s">
        <v>380</v>
      </c>
      <c r="D8" s="12" t="s">
        <v>495</v>
      </c>
      <c r="E8" s="12" t="s">
        <v>496</v>
      </c>
      <c r="F8" s="12" t="s">
        <v>497</v>
      </c>
      <c r="G8" s="12"/>
      <c r="H8" s="12"/>
      <c r="I8" s="12"/>
      <c r="J8" s="12"/>
      <c r="K8" s="12"/>
      <c r="L8" s="12"/>
      <c r="M8" s="12" t="s">
        <v>500</v>
      </c>
      <c r="N8" s="12"/>
      <c r="O8" s="12" t="s">
        <v>134</v>
      </c>
      <c r="P8" s="12"/>
    </row>
    <row r="9" customFormat="false" ht="15" hidden="false" customHeight="true" outlineLevel="0" collapsed="false">
      <c r="A9" s="13" t="s">
        <v>126</v>
      </c>
      <c r="B9" s="14" t="s">
        <v>118</v>
      </c>
      <c r="C9" s="14" t="s">
        <v>501</v>
      </c>
      <c r="D9" s="14" t="s">
        <v>495</v>
      </c>
      <c r="E9" s="14" t="s">
        <v>496</v>
      </c>
      <c r="F9" s="14" t="s">
        <v>497</v>
      </c>
      <c r="G9" s="14"/>
      <c r="H9" s="14"/>
      <c r="I9" s="14"/>
      <c r="J9" s="14"/>
      <c r="K9" s="14"/>
      <c r="L9" s="14"/>
      <c r="M9" s="14" t="s">
        <v>502</v>
      </c>
      <c r="N9" s="14"/>
      <c r="O9" s="14" t="s">
        <v>134</v>
      </c>
      <c r="P9" s="14"/>
    </row>
    <row r="10" customFormat="false" ht="15" hidden="false" customHeight="true" outlineLevel="0" collapsed="false">
      <c r="A10" s="6" t="s">
        <v>128</v>
      </c>
      <c r="B10" s="12" t="s">
        <v>118</v>
      </c>
      <c r="C10" s="12" t="s">
        <v>503</v>
      </c>
      <c r="D10" s="12" t="s">
        <v>495</v>
      </c>
      <c r="E10" s="12" t="s">
        <v>496</v>
      </c>
      <c r="F10" s="12" t="s">
        <v>497</v>
      </c>
      <c r="G10" s="12"/>
      <c r="H10" s="12"/>
      <c r="I10" s="12"/>
      <c r="J10" s="12"/>
      <c r="K10" s="12"/>
      <c r="L10" s="12"/>
      <c r="M10" s="12" t="s">
        <v>502</v>
      </c>
      <c r="N10" s="12"/>
      <c r="O10" s="12" t="s">
        <v>134</v>
      </c>
      <c r="P10" s="12"/>
    </row>
    <row r="11" customFormat="false" ht="15" hidden="false" customHeight="true" outlineLevel="0" collapsed="false">
      <c r="A11" s="13" t="s">
        <v>174</v>
      </c>
      <c r="B11" s="14" t="s">
        <v>175</v>
      </c>
      <c r="C11" s="14" t="s">
        <v>176</v>
      </c>
      <c r="D11" s="14" t="s">
        <v>495</v>
      </c>
      <c r="E11" s="14" t="s">
        <v>496</v>
      </c>
      <c r="F11" s="14" t="s">
        <v>497</v>
      </c>
      <c r="G11" s="14"/>
      <c r="H11" s="14"/>
      <c r="I11" s="14"/>
      <c r="J11" s="14"/>
      <c r="K11" s="14"/>
      <c r="L11" s="14"/>
      <c r="M11" s="14" t="s">
        <v>498</v>
      </c>
      <c r="N11" s="14"/>
      <c r="O11" s="14" t="s">
        <v>134</v>
      </c>
      <c r="P11" s="14"/>
    </row>
    <row r="12" customFormat="false" ht="15" hidden="false" customHeight="true" outlineLevel="0" collapsed="false">
      <c r="A12" s="6" t="s">
        <v>180</v>
      </c>
      <c r="B12" s="12" t="s">
        <v>181</v>
      </c>
      <c r="C12" s="12" t="s">
        <v>182</v>
      </c>
      <c r="D12" s="12" t="s">
        <v>495</v>
      </c>
      <c r="E12" s="12" t="s">
        <v>496</v>
      </c>
      <c r="F12" s="12" t="s">
        <v>497</v>
      </c>
      <c r="G12" s="12"/>
      <c r="H12" s="12"/>
      <c r="I12" s="12"/>
      <c r="J12" s="12"/>
      <c r="K12" s="12"/>
      <c r="L12" s="12"/>
      <c r="M12" s="12" t="s">
        <v>498</v>
      </c>
      <c r="N12" s="12"/>
      <c r="O12" s="12" t="s">
        <v>134</v>
      </c>
      <c r="P12" s="12"/>
    </row>
    <row r="13" customFormat="false" ht="15" hidden="false" customHeight="true" outlineLevel="0" collapsed="false">
      <c r="A13" s="13" t="s">
        <v>205</v>
      </c>
      <c r="B13" s="14" t="s">
        <v>504</v>
      </c>
      <c r="C13" s="14" t="s">
        <v>207</v>
      </c>
      <c r="D13" s="14" t="s">
        <v>495</v>
      </c>
      <c r="E13" s="14" t="s">
        <v>496</v>
      </c>
      <c r="F13" s="14" t="s">
        <v>497</v>
      </c>
      <c r="G13" s="14"/>
      <c r="H13" s="14"/>
      <c r="I13" s="14"/>
      <c r="J13" s="14"/>
      <c r="K13" s="14"/>
      <c r="L13" s="14"/>
      <c r="M13" s="14" t="s">
        <v>505</v>
      </c>
      <c r="N13" s="14"/>
      <c r="O13" s="14" t="s">
        <v>134</v>
      </c>
      <c r="P13" s="14"/>
    </row>
    <row r="14" customFormat="false" ht="15" hidden="false" customHeight="true" outlineLevel="0" collapsed="false">
      <c r="A14" s="6" t="s">
        <v>214</v>
      </c>
      <c r="B14" s="12" t="s">
        <v>504</v>
      </c>
      <c r="C14" s="12" t="s">
        <v>215</v>
      </c>
      <c r="D14" s="12" t="s">
        <v>495</v>
      </c>
      <c r="E14" s="12" t="s">
        <v>496</v>
      </c>
      <c r="F14" s="12" t="s">
        <v>497</v>
      </c>
      <c r="G14" s="12"/>
      <c r="H14" s="12"/>
      <c r="I14" s="12"/>
      <c r="J14" s="12"/>
      <c r="K14" s="12"/>
      <c r="L14" s="12"/>
      <c r="M14" s="12" t="s">
        <v>505</v>
      </c>
      <c r="N14" s="12"/>
      <c r="O14" s="12" t="s">
        <v>134</v>
      </c>
      <c r="P14" s="12"/>
    </row>
    <row r="15" customFormat="false" ht="15" hidden="false" customHeight="true" outlineLevel="0" collapsed="false">
      <c r="A15" s="13" t="s">
        <v>287</v>
      </c>
      <c r="B15" s="14" t="s">
        <v>288</v>
      </c>
      <c r="C15" s="14" t="s">
        <v>182</v>
      </c>
      <c r="D15" s="14" t="s">
        <v>495</v>
      </c>
      <c r="E15" s="14" t="s">
        <v>496</v>
      </c>
      <c r="F15" s="14" t="s">
        <v>497</v>
      </c>
      <c r="G15" s="14"/>
      <c r="H15" s="14"/>
      <c r="I15" s="14"/>
      <c r="J15" s="14"/>
      <c r="K15" s="14"/>
      <c r="L15" s="14"/>
      <c r="M15" s="14" t="s">
        <v>499</v>
      </c>
      <c r="N15" s="14"/>
      <c r="O15" s="14" t="s">
        <v>123</v>
      </c>
      <c r="P15" s="14"/>
    </row>
    <row r="16" customFormat="false" ht="15" hidden="false" customHeight="true" outlineLevel="0" collapsed="false">
      <c r="A16" s="6" t="s">
        <v>290</v>
      </c>
      <c r="B16" s="12" t="s">
        <v>291</v>
      </c>
      <c r="C16" s="12" t="s">
        <v>182</v>
      </c>
      <c r="D16" s="12" t="s">
        <v>495</v>
      </c>
      <c r="E16" s="12" t="s">
        <v>496</v>
      </c>
      <c r="F16" s="12" t="s">
        <v>497</v>
      </c>
      <c r="G16" s="12"/>
      <c r="H16" s="12"/>
      <c r="I16" s="12"/>
      <c r="J16" s="12"/>
      <c r="K16" s="12"/>
      <c r="L16" s="12"/>
      <c r="M16" s="12" t="s">
        <v>499</v>
      </c>
      <c r="N16" s="12"/>
      <c r="O16" s="12" t="s">
        <v>123</v>
      </c>
      <c r="P16" s="12"/>
    </row>
    <row r="17" customFormat="false" ht="15" hidden="false" customHeight="true" outlineLevel="0" collapsed="false">
      <c r="A17" s="13" t="s">
        <v>292</v>
      </c>
      <c r="B17" s="14" t="s">
        <v>293</v>
      </c>
      <c r="C17" s="14" t="s">
        <v>182</v>
      </c>
      <c r="D17" s="14" t="s">
        <v>495</v>
      </c>
      <c r="E17" s="14" t="s">
        <v>496</v>
      </c>
      <c r="F17" s="14" t="s">
        <v>497</v>
      </c>
      <c r="G17" s="14"/>
      <c r="H17" s="14"/>
      <c r="I17" s="14"/>
      <c r="J17" s="14"/>
      <c r="K17" s="14"/>
      <c r="L17" s="14"/>
      <c r="M17" s="14" t="s">
        <v>499</v>
      </c>
      <c r="N17" s="14"/>
      <c r="O17" s="14" t="s">
        <v>134</v>
      </c>
      <c r="P17" s="14"/>
    </row>
    <row r="18" customFormat="false" ht="15" hidden="false" customHeight="true" outlineLevel="0" collapsed="false">
      <c r="A18" s="6" t="s">
        <v>295</v>
      </c>
      <c r="B18" s="12" t="s">
        <v>296</v>
      </c>
      <c r="C18" s="12" t="s">
        <v>254</v>
      </c>
      <c r="D18" s="12" t="s">
        <v>495</v>
      </c>
      <c r="E18" s="12" t="s">
        <v>496</v>
      </c>
      <c r="F18" s="12" t="s">
        <v>497</v>
      </c>
      <c r="G18" s="12"/>
      <c r="H18" s="12"/>
      <c r="I18" s="12"/>
      <c r="J18" s="12"/>
      <c r="K18" s="12"/>
      <c r="L18" s="12"/>
      <c r="M18" s="12" t="s">
        <v>506</v>
      </c>
      <c r="N18" s="12"/>
      <c r="O18" s="12" t="s">
        <v>123</v>
      </c>
      <c r="P18" s="12"/>
    </row>
    <row r="19" customFormat="false" ht="15" hidden="false" customHeight="true" outlineLevel="0" collapsed="false">
      <c r="A19" s="13" t="s">
        <v>252</v>
      </c>
      <c r="B19" s="14" t="s">
        <v>507</v>
      </c>
      <c r="C19" s="14" t="s">
        <v>254</v>
      </c>
      <c r="D19" s="14" t="s">
        <v>508</v>
      </c>
      <c r="E19" s="14" t="s">
        <v>232</v>
      </c>
      <c r="F19" s="14" t="s">
        <v>497</v>
      </c>
      <c r="G19" s="14"/>
      <c r="H19" s="14"/>
      <c r="I19" s="14"/>
      <c r="J19" s="14"/>
      <c r="K19" s="14"/>
      <c r="L19" s="14"/>
      <c r="M19" s="14" t="s">
        <v>509</v>
      </c>
      <c r="N19" s="14"/>
      <c r="O19" s="14" t="s">
        <v>134</v>
      </c>
      <c r="P19" s="14" t="s">
        <v>510</v>
      </c>
    </row>
    <row r="20" customFormat="false" ht="15" hidden="false" customHeight="true" outlineLevel="0" collapsed="false">
      <c r="A20" s="6" t="s">
        <v>344</v>
      </c>
      <c r="B20" s="12" t="s">
        <v>511</v>
      </c>
      <c r="C20" s="12" t="s">
        <v>176</v>
      </c>
      <c r="D20" s="12" t="s">
        <v>512</v>
      </c>
      <c r="E20" s="12" t="s">
        <v>232</v>
      </c>
      <c r="F20" s="12" t="s">
        <v>497</v>
      </c>
      <c r="G20" s="12"/>
      <c r="H20" s="12"/>
      <c r="I20" s="12"/>
      <c r="J20" s="12"/>
      <c r="K20" s="12"/>
      <c r="L20" s="12"/>
      <c r="M20" s="12" t="s">
        <v>513</v>
      </c>
      <c r="N20" s="12"/>
      <c r="O20" s="12" t="s">
        <v>134</v>
      </c>
      <c r="P20" s="12"/>
    </row>
    <row r="21" customFormat="false" ht="15" hidden="false" customHeight="true" outlineLevel="0" collapsed="false">
      <c r="A21" s="13" t="s">
        <v>350</v>
      </c>
      <c r="B21" s="14" t="s">
        <v>514</v>
      </c>
      <c r="C21" s="14" t="s">
        <v>176</v>
      </c>
      <c r="D21" s="14" t="s">
        <v>512</v>
      </c>
      <c r="E21" s="14" t="s">
        <v>232</v>
      </c>
      <c r="F21" s="14" t="s">
        <v>497</v>
      </c>
      <c r="G21" s="14"/>
      <c r="H21" s="14"/>
      <c r="I21" s="14"/>
      <c r="J21" s="14"/>
      <c r="K21" s="14"/>
      <c r="L21" s="14"/>
      <c r="M21" s="14" t="s">
        <v>513</v>
      </c>
      <c r="N21" s="14"/>
      <c r="O21" s="14" t="s">
        <v>134</v>
      </c>
      <c r="P21" s="14"/>
    </row>
    <row r="22" customFormat="false" ht="15" hidden="false" customHeight="true" outlineLevel="0" collapsed="false">
      <c r="A22" s="6" t="s">
        <v>359</v>
      </c>
      <c r="B22" s="12" t="s">
        <v>515</v>
      </c>
      <c r="C22" s="12" t="s">
        <v>516</v>
      </c>
      <c r="D22" s="12" t="s">
        <v>495</v>
      </c>
      <c r="E22" s="12" t="s">
        <v>496</v>
      </c>
      <c r="F22" s="12" t="s">
        <v>497</v>
      </c>
      <c r="G22" s="12"/>
      <c r="H22" s="12"/>
      <c r="I22" s="12"/>
      <c r="J22" s="12"/>
      <c r="K22" s="12"/>
      <c r="L22" s="12"/>
      <c r="M22" s="12" t="s">
        <v>517</v>
      </c>
      <c r="N22" s="12"/>
      <c r="O22" s="12" t="s">
        <v>123</v>
      </c>
      <c r="P22" s="12"/>
    </row>
    <row r="23" customFormat="false" ht="15" hidden="false" customHeight="true" outlineLevel="0" collapsed="false">
      <c r="A23" s="13" t="s">
        <v>67</v>
      </c>
      <c r="B23" s="14" t="s">
        <v>68</v>
      </c>
      <c r="C23" s="14" t="s">
        <v>176</v>
      </c>
      <c r="D23" s="14" t="s">
        <v>495</v>
      </c>
      <c r="E23" s="14" t="s">
        <v>496</v>
      </c>
      <c r="F23" s="14" t="s">
        <v>497</v>
      </c>
      <c r="G23" s="14"/>
      <c r="H23" s="14"/>
      <c r="I23" s="14"/>
      <c r="J23" s="14"/>
      <c r="K23" s="14"/>
      <c r="L23" s="14"/>
      <c r="M23" s="14" t="s">
        <v>499</v>
      </c>
      <c r="N23" s="14"/>
      <c r="O23" s="14" t="s">
        <v>123</v>
      </c>
      <c r="P23" s="14"/>
    </row>
    <row r="24" customFormat="false" ht="15.75" hidden="false" customHeight="true" outlineLevel="0" collapsed="false">
      <c r="A24" s="15" t="s">
        <v>518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6" customFormat="false" ht="19.5" hidden="false" customHeight="true" outlineLevel="0" collapsed="false">
      <c r="A26" s="4" t="s">
        <v>519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" hidden="false" customHeight="true" outlineLevel="0" collapsed="false">
      <c r="A27" s="5" t="s">
        <v>520</v>
      </c>
      <c r="B27" s="5"/>
      <c r="C27" s="5"/>
      <c r="D27" s="5"/>
      <c r="E27" s="16" t="n">
        <f aca="false">COUNTA(A4:A23)</f>
        <v>20</v>
      </c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</row>
    <row r="28" customFormat="false" ht="15" hidden="false" customHeight="true" outlineLevel="0" collapsed="false">
      <c r="A28" s="5" t="s">
        <v>521</v>
      </c>
      <c r="B28" s="5"/>
      <c r="C28" s="5"/>
      <c r="D28" s="5"/>
      <c r="E28" s="16" t="n">
        <f aca="false">COUNTIF(O4:O23,"Yes")</f>
        <v>8</v>
      </c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7"/>
    </row>
    <row r="29" customFormat="false" ht="15" hidden="false" customHeight="true" outlineLevel="0" collapsed="false">
      <c r="A29" s="5" t="s">
        <v>522</v>
      </c>
      <c r="B29" s="5"/>
      <c r="C29" s="5"/>
      <c r="D29" s="5"/>
      <c r="E29" s="16" t="n">
        <f aca="false">COUNTIFS(D4:D23,"460",E4:E23,"3")</f>
        <v>17</v>
      </c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7"/>
    </row>
    <row r="30" customFormat="false" ht="15" hidden="false" customHeight="true" outlineLevel="0" collapsed="false">
      <c r="A30" s="5" t="s">
        <v>523</v>
      </c>
      <c r="B30" s="5"/>
      <c r="C30" s="5"/>
      <c r="D30" s="5"/>
      <c r="E30" s="16" t="n">
        <f aca="false">COUNTIFS(D4:D23,"208",E4:E23,"1")</f>
        <v>2</v>
      </c>
      <c r="F30" s="16"/>
      <c r="G30" s="16"/>
      <c r="H30" s="16"/>
      <c r="I30" s="17"/>
      <c r="J30" s="17"/>
      <c r="K30" s="17"/>
      <c r="L30" s="17"/>
      <c r="M30" s="17"/>
      <c r="N30" s="17"/>
      <c r="O30" s="17"/>
      <c r="P30" s="17"/>
    </row>
    <row r="31" customFormat="false" ht="15" hidden="false" customHeight="true" outlineLevel="0" collapsed="false">
      <c r="A31" s="5" t="s">
        <v>524</v>
      </c>
      <c r="B31" s="5"/>
      <c r="C31" s="5"/>
      <c r="D31" s="5"/>
      <c r="E31" s="16" t="n">
        <f aca="false">SUM(H4:H23)</f>
        <v>0</v>
      </c>
      <c r="F31" s="16"/>
      <c r="G31" s="16"/>
      <c r="H31" s="16"/>
      <c r="I31" s="17"/>
      <c r="J31" s="17"/>
      <c r="K31" s="17"/>
      <c r="L31" s="17"/>
      <c r="M31" s="17"/>
      <c r="N31" s="17"/>
      <c r="O31" s="17"/>
      <c r="P31" s="17"/>
    </row>
    <row r="32" customFormat="false" ht="15" hidden="false" customHeight="true" outlineLevel="0" collapsed="false">
      <c r="A32" s="5" t="s">
        <v>525</v>
      </c>
      <c r="B32" s="5"/>
      <c r="C32" s="5"/>
      <c r="D32" s="5"/>
      <c r="E32" s="16" t="n">
        <f aca="false">SUM(I4:I23)</f>
        <v>0</v>
      </c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</row>
    <row r="34" customFormat="false" ht="4.5" hidden="false" customHeight="true" outlineLevel="0" collapsed="false"/>
    <row r="35" customFormat="false" ht="13.5" hidden="false" customHeight="true" outlineLevel="0" collapsed="false">
      <c r="A35" s="9" t="s">
        <v>29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</sheetData>
  <mergeCells count="18">
    <mergeCell ref="A1:H1"/>
    <mergeCell ref="I1:P1"/>
    <mergeCell ref="A2:P2"/>
    <mergeCell ref="A24:P24"/>
    <mergeCell ref="A26:P26"/>
    <mergeCell ref="A27:D27"/>
    <mergeCell ref="E27:H27"/>
    <mergeCell ref="A28:D28"/>
    <mergeCell ref="E28:H28"/>
    <mergeCell ref="A29:D29"/>
    <mergeCell ref="E29:H29"/>
    <mergeCell ref="A30:D30"/>
    <mergeCell ref="E30:H30"/>
    <mergeCell ref="A31:D31"/>
    <mergeCell ref="E31:H31"/>
    <mergeCell ref="A32:D32"/>
    <mergeCell ref="E32:H32"/>
    <mergeCell ref="A35:P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9" min="4" style="0" width="12"/>
    <col collapsed="false" customWidth="true" hidden="false" outlineLevel="0" max="15" min="10" style="0" width="10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4" t="s">
        <v>526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27.75" hidden="false" customHeight="true" outlineLevel="0" collapsed="false">
      <c r="A3" s="11" t="s">
        <v>32</v>
      </c>
      <c r="B3" s="11" t="s">
        <v>527</v>
      </c>
      <c r="C3" s="11" t="s">
        <v>528</v>
      </c>
      <c r="D3" s="11" t="s">
        <v>529</v>
      </c>
      <c r="E3" s="11" t="s">
        <v>530</v>
      </c>
      <c r="F3" s="11" t="s">
        <v>531</v>
      </c>
      <c r="G3" s="11" t="s">
        <v>532</v>
      </c>
      <c r="H3" s="11" t="s">
        <v>533</v>
      </c>
      <c r="I3" s="11" t="s">
        <v>534</v>
      </c>
      <c r="J3" s="11" t="s">
        <v>535</v>
      </c>
      <c r="K3" s="11" t="s">
        <v>536</v>
      </c>
      <c r="L3" s="11" t="s">
        <v>537</v>
      </c>
      <c r="M3" s="11" t="s">
        <v>538</v>
      </c>
      <c r="N3" s="11" t="s">
        <v>539</v>
      </c>
      <c r="O3" s="11" t="s">
        <v>540</v>
      </c>
      <c r="P3" s="11" t="s">
        <v>47</v>
      </c>
    </row>
    <row r="4" customFormat="false" ht="15" hidden="false" customHeight="true" outlineLevel="0" collapsed="false">
      <c r="A4" s="6" t="s">
        <v>541</v>
      </c>
      <c r="B4" s="12" t="s">
        <v>542</v>
      </c>
      <c r="C4" s="12" t="s">
        <v>543</v>
      </c>
      <c r="D4" s="12" t="s">
        <v>544</v>
      </c>
      <c r="E4" s="12" t="s">
        <v>545</v>
      </c>
      <c r="F4" s="12" t="s">
        <v>546</v>
      </c>
      <c r="G4" s="12" t="s">
        <v>547</v>
      </c>
      <c r="H4" s="12" t="s">
        <v>548</v>
      </c>
      <c r="I4" s="12" t="s">
        <v>549</v>
      </c>
      <c r="J4" s="12"/>
      <c r="K4" s="12" t="s">
        <v>550</v>
      </c>
      <c r="L4" s="12" t="s">
        <v>551</v>
      </c>
      <c r="M4" s="12" t="s">
        <v>552</v>
      </c>
      <c r="N4" s="12" t="s">
        <v>553</v>
      </c>
      <c r="O4" s="12" t="s">
        <v>554</v>
      </c>
      <c r="P4" s="12"/>
    </row>
    <row r="5" customFormat="false" ht="15" hidden="false" customHeight="true" outlineLevel="0" collapsed="false">
      <c r="A5" s="13" t="s">
        <v>555</v>
      </c>
      <c r="B5" s="14" t="s">
        <v>556</v>
      </c>
      <c r="C5" s="14" t="s">
        <v>557</v>
      </c>
      <c r="D5" s="14" t="s">
        <v>544</v>
      </c>
      <c r="E5" s="14" t="s">
        <v>545</v>
      </c>
      <c r="F5" s="14" t="s">
        <v>546</v>
      </c>
      <c r="G5" s="14" t="s">
        <v>558</v>
      </c>
      <c r="H5" s="14" t="s">
        <v>548</v>
      </c>
      <c r="I5" s="14" t="s">
        <v>549</v>
      </c>
      <c r="J5" s="14"/>
      <c r="K5" s="14" t="s">
        <v>550</v>
      </c>
      <c r="L5" s="14" t="s">
        <v>551</v>
      </c>
      <c r="M5" s="14" t="s">
        <v>552</v>
      </c>
      <c r="N5" s="14" t="s">
        <v>553</v>
      </c>
      <c r="O5" s="14" t="s">
        <v>554</v>
      </c>
      <c r="P5" s="14"/>
    </row>
    <row r="6" customFormat="false" ht="15" hidden="false" customHeight="true" outlineLevel="0" collapsed="false">
      <c r="A6" s="6" t="s">
        <v>559</v>
      </c>
      <c r="B6" s="12" t="s">
        <v>560</v>
      </c>
      <c r="C6" s="12" t="s">
        <v>561</v>
      </c>
      <c r="D6" s="12" t="s">
        <v>544</v>
      </c>
      <c r="E6" s="12" t="s">
        <v>545</v>
      </c>
      <c r="F6" s="12" t="s">
        <v>562</v>
      </c>
      <c r="G6" s="12" t="s">
        <v>145</v>
      </c>
      <c r="H6" s="12" t="s">
        <v>145</v>
      </c>
      <c r="I6" s="12" t="s">
        <v>549</v>
      </c>
      <c r="J6" s="12"/>
      <c r="K6" s="12" t="s">
        <v>563</v>
      </c>
      <c r="L6" s="12" t="s">
        <v>564</v>
      </c>
      <c r="M6" s="12" t="s">
        <v>565</v>
      </c>
      <c r="N6" s="12" t="s">
        <v>566</v>
      </c>
      <c r="O6" s="12" t="s">
        <v>567</v>
      </c>
      <c r="P6" s="12"/>
    </row>
    <row r="7" customFormat="false" ht="15" hidden="false" customHeight="true" outlineLevel="0" collapsed="false">
      <c r="A7" s="13" t="s">
        <v>568</v>
      </c>
      <c r="B7" s="14" t="s">
        <v>569</v>
      </c>
      <c r="C7" s="14" t="s">
        <v>570</v>
      </c>
      <c r="D7" s="14" t="s">
        <v>544</v>
      </c>
      <c r="E7" s="14" t="s">
        <v>545</v>
      </c>
      <c r="F7" s="14" t="s">
        <v>571</v>
      </c>
      <c r="G7" s="14" t="s">
        <v>145</v>
      </c>
      <c r="H7" s="14" t="s">
        <v>145</v>
      </c>
      <c r="I7" s="14" t="s">
        <v>549</v>
      </c>
      <c r="J7" s="14"/>
      <c r="K7" s="14" t="s">
        <v>550</v>
      </c>
      <c r="L7" s="14" t="s">
        <v>551</v>
      </c>
      <c r="M7" s="14" t="s">
        <v>572</v>
      </c>
      <c r="N7" s="14" t="s">
        <v>553</v>
      </c>
      <c r="O7" s="14" t="s">
        <v>554</v>
      </c>
      <c r="P7" s="14"/>
    </row>
    <row r="8" customFormat="false" ht="15" hidden="false" customHeight="true" outlineLevel="0" collapsed="false">
      <c r="A8" s="6" t="s">
        <v>573</v>
      </c>
      <c r="B8" s="12" t="s">
        <v>574</v>
      </c>
      <c r="C8" s="12" t="s">
        <v>575</v>
      </c>
      <c r="D8" s="12" t="s">
        <v>576</v>
      </c>
      <c r="E8" s="12" t="s">
        <v>545</v>
      </c>
      <c r="F8" s="12" t="s">
        <v>577</v>
      </c>
      <c r="G8" s="12" t="s">
        <v>578</v>
      </c>
      <c r="H8" s="12" t="s">
        <v>579</v>
      </c>
      <c r="I8" s="12" t="s">
        <v>549</v>
      </c>
      <c r="J8" s="12"/>
      <c r="K8" s="12" t="s">
        <v>580</v>
      </c>
      <c r="L8" s="12" t="s">
        <v>581</v>
      </c>
      <c r="M8" s="12" t="s">
        <v>582</v>
      </c>
      <c r="N8" s="12" t="s">
        <v>583</v>
      </c>
      <c r="O8" s="12" t="s">
        <v>584</v>
      </c>
      <c r="P8" s="12"/>
    </row>
    <row r="9" customFormat="false" ht="15" hidden="false" customHeight="true" outlineLevel="0" collapsed="false">
      <c r="A9" s="13" t="s">
        <v>585</v>
      </c>
      <c r="B9" s="14" t="s">
        <v>586</v>
      </c>
      <c r="C9" s="14" t="s">
        <v>587</v>
      </c>
      <c r="D9" s="14" t="s">
        <v>544</v>
      </c>
      <c r="E9" s="14" t="s">
        <v>545</v>
      </c>
      <c r="F9" s="14" t="s">
        <v>588</v>
      </c>
      <c r="G9" s="14" t="s">
        <v>589</v>
      </c>
      <c r="H9" s="14" t="s">
        <v>590</v>
      </c>
      <c r="I9" s="14" t="s">
        <v>549</v>
      </c>
      <c r="J9" s="14"/>
      <c r="K9" s="14" t="s">
        <v>550</v>
      </c>
      <c r="L9" s="14" t="s">
        <v>551</v>
      </c>
      <c r="M9" s="14" t="s">
        <v>591</v>
      </c>
      <c r="N9" s="14" t="s">
        <v>553</v>
      </c>
      <c r="O9" s="14" t="s">
        <v>554</v>
      </c>
      <c r="P9" s="14"/>
    </row>
    <row r="10" customFormat="false" ht="15" hidden="false" customHeight="true" outlineLevel="0" collapsed="false">
      <c r="A10" s="6" t="s">
        <v>592</v>
      </c>
      <c r="B10" s="12" t="s">
        <v>586</v>
      </c>
      <c r="C10" s="12" t="s">
        <v>593</v>
      </c>
      <c r="D10" s="12" t="s">
        <v>544</v>
      </c>
      <c r="E10" s="12" t="s">
        <v>545</v>
      </c>
      <c r="F10" s="12" t="s">
        <v>588</v>
      </c>
      <c r="G10" s="12" t="s">
        <v>594</v>
      </c>
      <c r="H10" s="12" t="s">
        <v>590</v>
      </c>
      <c r="I10" s="12" t="s">
        <v>549</v>
      </c>
      <c r="J10" s="12"/>
      <c r="K10" s="12" t="s">
        <v>595</v>
      </c>
      <c r="L10" s="12" t="s">
        <v>551</v>
      </c>
      <c r="M10" s="12" t="s">
        <v>591</v>
      </c>
      <c r="N10" s="12" t="s">
        <v>596</v>
      </c>
      <c r="O10" s="12" t="s">
        <v>554</v>
      </c>
      <c r="P10" s="12"/>
    </row>
    <row r="11" customFormat="false" ht="15" hidden="false" customHeight="true" outlineLevel="0" collapsed="false">
      <c r="A11" s="13" t="s">
        <v>597</v>
      </c>
      <c r="B11" s="14" t="s">
        <v>598</v>
      </c>
      <c r="C11" s="14" t="s">
        <v>599</v>
      </c>
      <c r="D11" s="14" t="s">
        <v>544</v>
      </c>
      <c r="E11" s="14" t="s">
        <v>545</v>
      </c>
      <c r="F11" s="14" t="s">
        <v>600</v>
      </c>
      <c r="G11" s="14" t="s">
        <v>601</v>
      </c>
      <c r="H11" s="14" t="s">
        <v>590</v>
      </c>
      <c r="I11" s="14" t="s">
        <v>549</v>
      </c>
      <c r="J11" s="14"/>
      <c r="K11" s="14" t="s">
        <v>550</v>
      </c>
      <c r="L11" s="14" t="s">
        <v>551</v>
      </c>
      <c r="M11" s="14" t="s">
        <v>602</v>
      </c>
      <c r="N11" s="14" t="s">
        <v>553</v>
      </c>
      <c r="O11" s="14" t="s">
        <v>554</v>
      </c>
      <c r="P11" s="14"/>
    </row>
    <row r="12" customFormat="false" ht="15" hidden="false" customHeight="true" outlineLevel="0" collapsed="false">
      <c r="A12" s="6" t="s">
        <v>603</v>
      </c>
      <c r="B12" s="12" t="s">
        <v>604</v>
      </c>
      <c r="C12" s="12" t="s">
        <v>430</v>
      </c>
      <c r="D12" s="12" t="s">
        <v>576</v>
      </c>
      <c r="E12" s="12" t="s">
        <v>545</v>
      </c>
      <c r="F12" s="12" t="s">
        <v>605</v>
      </c>
      <c r="G12" s="12" t="s">
        <v>606</v>
      </c>
      <c r="H12" s="12" t="s">
        <v>607</v>
      </c>
      <c r="I12" s="12" t="s">
        <v>549</v>
      </c>
      <c r="J12" s="12"/>
      <c r="K12" s="12" t="s">
        <v>608</v>
      </c>
      <c r="L12" s="12" t="s">
        <v>581</v>
      </c>
      <c r="M12" s="12" t="s">
        <v>609</v>
      </c>
      <c r="N12" s="12" t="s">
        <v>610</v>
      </c>
      <c r="O12" s="12" t="s">
        <v>584</v>
      </c>
      <c r="P12" s="12" t="s">
        <v>611</v>
      </c>
    </row>
    <row r="13" customFormat="false" ht="15" hidden="false" customHeight="true" outlineLevel="0" collapsed="false">
      <c r="A13" s="13" t="s">
        <v>612</v>
      </c>
      <c r="B13" s="14" t="s">
        <v>604</v>
      </c>
      <c r="C13" s="14" t="s">
        <v>613</v>
      </c>
      <c r="D13" s="14" t="s">
        <v>576</v>
      </c>
      <c r="E13" s="14" t="s">
        <v>545</v>
      </c>
      <c r="F13" s="14" t="s">
        <v>605</v>
      </c>
      <c r="G13" s="14" t="s">
        <v>606</v>
      </c>
      <c r="H13" s="14" t="s">
        <v>607</v>
      </c>
      <c r="I13" s="14" t="s">
        <v>549</v>
      </c>
      <c r="J13" s="14"/>
      <c r="K13" s="14" t="s">
        <v>580</v>
      </c>
      <c r="L13" s="14" t="s">
        <v>581</v>
      </c>
      <c r="M13" s="14" t="s">
        <v>609</v>
      </c>
      <c r="N13" s="14" t="s">
        <v>610</v>
      </c>
      <c r="O13" s="14" t="s">
        <v>584</v>
      </c>
      <c r="P13" s="14" t="s">
        <v>611</v>
      </c>
    </row>
    <row r="14" customFormat="false" ht="15" hidden="false" customHeight="true" outlineLevel="0" collapsed="false">
      <c r="A14" s="6" t="s">
        <v>614</v>
      </c>
      <c r="B14" s="12" t="s">
        <v>615</v>
      </c>
      <c r="C14" s="12" t="s">
        <v>616</v>
      </c>
      <c r="D14" s="12" t="s">
        <v>576</v>
      </c>
      <c r="E14" s="12" t="s">
        <v>545</v>
      </c>
      <c r="F14" s="12" t="s">
        <v>617</v>
      </c>
      <c r="G14" s="12" t="s">
        <v>145</v>
      </c>
      <c r="H14" s="12" t="s">
        <v>145</v>
      </c>
      <c r="I14" s="12" t="s">
        <v>549</v>
      </c>
      <c r="J14" s="12"/>
      <c r="K14" s="12" t="s">
        <v>618</v>
      </c>
      <c r="L14" s="12" t="s">
        <v>619</v>
      </c>
      <c r="M14" s="12" t="s">
        <v>620</v>
      </c>
      <c r="N14" s="12" t="s">
        <v>621</v>
      </c>
      <c r="O14" s="12" t="s">
        <v>567</v>
      </c>
      <c r="P14" s="12"/>
    </row>
    <row r="15" customFormat="false" ht="15" hidden="false" customHeight="true" outlineLevel="0" collapsed="false">
      <c r="A15" s="13" t="s">
        <v>622</v>
      </c>
      <c r="B15" s="14" t="s">
        <v>623</v>
      </c>
      <c r="C15" s="14" t="s">
        <v>182</v>
      </c>
      <c r="D15" s="14" t="s">
        <v>576</v>
      </c>
      <c r="E15" s="14" t="s">
        <v>424</v>
      </c>
      <c r="F15" s="14" t="s">
        <v>624</v>
      </c>
      <c r="G15" s="14" t="s">
        <v>145</v>
      </c>
      <c r="H15" s="14" t="s">
        <v>145</v>
      </c>
      <c r="I15" s="14" t="s">
        <v>549</v>
      </c>
      <c r="J15" s="14"/>
      <c r="K15" s="14" t="s">
        <v>618</v>
      </c>
      <c r="L15" s="14" t="s">
        <v>619</v>
      </c>
      <c r="M15" s="14" t="s">
        <v>625</v>
      </c>
      <c r="N15" s="14" t="s">
        <v>621</v>
      </c>
      <c r="O15" s="14" t="s">
        <v>567</v>
      </c>
      <c r="P15" s="14"/>
    </row>
    <row r="16" customFormat="false" ht="15" hidden="false" customHeight="true" outlineLevel="0" collapsed="false">
      <c r="A16" s="6" t="s">
        <v>626</v>
      </c>
      <c r="B16" s="12" t="s">
        <v>627</v>
      </c>
      <c r="C16" s="12" t="s">
        <v>48</v>
      </c>
      <c r="D16" s="12" t="s">
        <v>544</v>
      </c>
      <c r="E16" s="12" t="s">
        <v>545</v>
      </c>
      <c r="F16" s="12" t="s">
        <v>628</v>
      </c>
      <c r="G16" s="12" t="s">
        <v>629</v>
      </c>
      <c r="H16" s="12" t="s">
        <v>145</v>
      </c>
      <c r="I16" s="12" t="s">
        <v>145</v>
      </c>
      <c r="J16" s="12"/>
      <c r="K16" s="12" t="s">
        <v>550</v>
      </c>
      <c r="L16" s="12" t="s">
        <v>498</v>
      </c>
      <c r="M16" s="12" t="s">
        <v>630</v>
      </c>
      <c r="N16" s="12" t="s">
        <v>553</v>
      </c>
      <c r="O16" s="12" t="s">
        <v>554</v>
      </c>
      <c r="P16" s="12"/>
    </row>
    <row r="17" customFormat="false" ht="15" hidden="false" customHeight="true" outlineLevel="0" collapsed="false">
      <c r="A17" s="13" t="s">
        <v>631</v>
      </c>
      <c r="B17" s="14" t="s">
        <v>632</v>
      </c>
      <c r="C17" s="14" t="s">
        <v>287</v>
      </c>
      <c r="D17" s="14" t="s">
        <v>544</v>
      </c>
      <c r="E17" s="14" t="s">
        <v>545</v>
      </c>
      <c r="F17" s="14" t="s">
        <v>628</v>
      </c>
      <c r="G17" s="14" t="s">
        <v>629</v>
      </c>
      <c r="H17" s="14" t="s">
        <v>145</v>
      </c>
      <c r="I17" s="14" t="s">
        <v>145</v>
      </c>
      <c r="J17" s="14"/>
      <c r="K17" s="14" t="s">
        <v>618</v>
      </c>
      <c r="L17" s="14" t="s">
        <v>499</v>
      </c>
      <c r="M17" s="14" t="s">
        <v>633</v>
      </c>
      <c r="N17" s="14" t="s">
        <v>621</v>
      </c>
      <c r="O17" s="14" t="s">
        <v>567</v>
      </c>
      <c r="P17" s="14"/>
    </row>
    <row r="18" customFormat="false" ht="15" hidden="false" customHeight="true" outlineLevel="0" collapsed="false">
      <c r="A18" s="6" t="s">
        <v>634</v>
      </c>
      <c r="B18" s="12" t="s">
        <v>635</v>
      </c>
      <c r="C18" s="12" t="s">
        <v>636</v>
      </c>
      <c r="D18" s="12" t="s">
        <v>544</v>
      </c>
      <c r="E18" s="12" t="s">
        <v>637</v>
      </c>
      <c r="F18" s="12" t="s">
        <v>638</v>
      </c>
      <c r="G18" s="12" t="s">
        <v>629</v>
      </c>
      <c r="H18" s="12" t="s">
        <v>145</v>
      </c>
      <c r="I18" s="12" t="s">
        <v>145</v>
      </c>
      <c r="J18" s="12"/>
      <c r="K18" s="12" t="s">
        <v>550</v>
      </c>
      <c r="L18" s="12" t="s">
        <v>551</v>
      </c>
      <c r="M18" s="12" t="s">
        <v>639</v>
      </c>
      <c r="N18" s="12" t="s">
        <v>553</v>
      </c>
      <c r="O18" s="12" t="s">
        <v>554</v>
      </c>
      <c r="P18" s="12"/>
    </row>
    <row r="19" customFormat="false" ht="15" hidden="false" customHeight="true" outlineLevel="0" collapsed="false">
      <c r="A19" s="13" t="s">
        <v>640</v>
      </c>
      <c r="B19" s="14" t="s">
        <v>641</v>
      </c>
      <c r="C19" s="14" t="s">
        <v>642</v>
      </c>
      <c r="D19" s="14" t="s">
        <v>643</v>
      </c>
      <c r="E19" s="14" t="s">
        <v>644</v>
      </c>
      <c r="F19" s="14" t="s">
        <v>645</v>
      </c>
      <c r="G19" s="14" t="s">
        <v>646</v>
      </c>
      <c r="H19" s="14" t="s">
        <v>145</v>
      </c>
      <c r="I19" s="14" t="s">
        <v>549</v>
      </c>
      <c r="J19" s="14"/>
      <c r="K19" s="14" t="s">
        <v>647</v>
      </c>
      <c r="L19" s="14" t="s">
        <v>648</v>
      </c>
      <c r="M19" s="14" t="s">
        <v>649</v>
      </c>
      <c r="N19" s="14" t="s">
        <v>650</v>
      </c>
      <c r="O19" s="14" t="s">
        <v>584</v>
      </c>
      <c r="P19" s="14" t="s">
        <v>651</v>
      </c>
    </row>
    <row r="20" customFormat="false" ht="15" hidden="false" customHeight="true" outlineLevel="0" collapsed="false">
      <c r="A20" s="6" t="s">
        <v>652</v>
      </c>
      <c r="B20" s="12" t="s">
        <v>641</v>
      </c>
      <c r="C20" s="12" t="s">
        <v>653</v>
      </c>
      <c r="D20" s="12" t="s">
        <v>643</v>
      </c>
      <c r="E20" s="12" t="s">
        <v>644</v>
      </c>
      <c r="F20" s="12" t="s">
        <v>645</v>
      </c>
      <c r="G20" s="12" t="s">
        <v>646</v>
      </c>
      <c r="H20" s="12" t="s">
        <v>145</v>
      </c>
      <c r="I20" s="12" t="s">
        <v>549</v>
      </c>
      <c r="J20" s="12"/>
      <c r="K20" s="12" t="s">
        <v>647</v>
      </c>
      <c r="L20" s="12" t="s">
        <v>648</v>
      </c>
      <c r="M20" s="12" t="s">
        <v>649</v>
      </c>
      <c r="N20" s="12" t="s">
        <v>650</v>
      </c>
      <c r="O20" s="12" t="s">
        <v>584</v>
      </c>
      <c r="P20" s="12" t="s">
        <v>651</v>
      </c>
    </row>
    <row r="21" customFormat="false" ht="15" hidden="false" customHeight="true" outlineLevel="0" collapsed="false">
      <c r="A21" s="13" t="s">
        <v>654</v>
      </c>
      <c r="B21" s="14" t="s">
        <v>655</v>
      </c>
      <c r="C21" s="14" t="s">
        <v>656</v>
      </c>
      <c r="D21" s="14" t="s">
        <v>544</v>
      </c>
      <c r="E21" s="14" t="s">
        <v>424</v>
      </c>
      <c r="F21" s="14" t="s">
        <v>657</v>
      </c>
      <c r="G21" s="14" t="s">
        <v>658</v>
      </c>
      <c r="H21" s="14" t="s">
        <v>659</v>
      </c>
      <c r="I21" s="14" t="s">
        <v>660</v>
      </c>
      <c r="J21" s="14"/>
      <c r="K21" s="14" t="s">
        <v>661</v>
      </c>
      <c r="L21" s="14" t="s">
        <v>662</v>
      </c>
      <c r="M21" s="14" t="s">
        <v>663</v>
      </c>
      <c r="N21" s="14" t="s">
        <v>583</v>
      </c>
      <c r="O21" s="14" t="s">
        <v>584</v>
      </c>
      <c r="P21" s="14"/>
    </row>
    <row r="22" customFormat="false" ht="15" hidden="false" customHeight="true" outlineLevel="0" collapsed="false">
      <c r="A22" s="6" t="s">
        <v>664</v>
      </c>
      <c r="B22" s="12" t="s">
        <v>655</v>
      </c>
      <c r="C22" s="12" t="s">
        <v>665</v>
      </c>
      <c r="D22" s="12" t="s">
        <v>544</v>
      </c>
      <c r="E22" s="12" t="s">
        <v>424</v>
      </c>
      <c r="F22" s="12" t="s">
        <v>657</v>
      </c>
      <c r="G22" s="12" t="s">
        <v>666</v>
      </c>
      <c r="H22" s="12" t="s">
        <v>659</v>
      </c>
      <c r="I22" s="12" t="s">
        <v>660</v>
      </c>
      <c r="J22" s="12"/>
      <c r="K22" s="12" t="s">
        <v>667</v>
      </c>
      <c r="L22" s="12" t="s">
        <v>662</v>
      </c>
      <c r="M22" s="12" t="s">
        <v>663</v>
      </c>
      <c r="N22" s="12" t="s">
        <v>583</v>
      </c>
      <c r="O22" s="12" t="s">
        <v>584</v>
      </c>
      <c r="P22" s="12"/>
    </row>
    <row r="23" customFormat="false" ht="15" hidden="false" customHeight="true" outlineLevel="0" collapsed="false">
      <c r="A23" s="13" t="s">
        <v>668</v>
      </c>
      <c r="B23" s="14" t="s">
        <v>669</v>
      </c>
      <c r="C23" s="14" t="s">
        <v>670</v>
      </c>
      <c r="D23" s="14" t="s">
        <v>576</v>
      </c>
      <c r="E23" s="14" t="s">
        <v>424</v>
      </c>
      <c r="F23" s="14" t="s">
        <v>671</v>
      </c>
      <c r="G23" s="14" t="s">
        <v>145</v>
      </c>
      <c r="H23" s="14" t="s">
        <v>145</v>
      </c>
      <c r="I23" s="14" t="s">
        <v>549</v>
      </c>
      <c r="J23" s="14"/>
      <c r="K23" s="14" t="s">
        <v>580</v>
      </c>
      <c r="L23" s="14" t="s">
        <v>581</v>
      </c>
      <c r="M23" s="14" t="s">
        <v>672</v>
      </c>
      <c r="N23" s="14" t="s">
        <v>673</v>
      </c>
      <c r="O23" s="14" t="s">
        <v>584</v>
      </c>
      <c r="P23" s="14"/>
    </row>
    <row r="24" customFormat="false" ht="15.75" hidden="false" customHeight="true" outlineLevel="0" collapsed="false">
      <c r="A24" s="15" t="s">
        <v>674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6" customFormat="false" ht="19.5" hidden="false" customHeight="true" outlineLevel="0" collapsed="false">
      <c r="A26" s="4" t="s">
        <v>675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" hidden="false" customHeight="true" outlineLevel="0" collapsed="false">
      <c r="A27" s="5" t="s">
        <v>676</v>
      </c>
      <c r="B27" s="5"/>
      <c r="C27" s="5"/>
      <c r="D27" s="5"/>
      <c r="E27" s="16" t="n">
        <f aca="false">COUNTA(A4:A23)</f>
        <v>20</v>
      </c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</row>
    <row r="28" customFormat="false" ht="15" hidden="false" customHeight="true" outlineLevel="0" collapsed="false">
      <c r="A28" s="5" t="s">
        <v>677</v>
      </c>
      <c r="B28" s="5"/>
      <c r="C28" s="5"/>
      <c r="D28" s="5"/>
      <c r="E28" s="16" t="n">
        <f aca="false">COUNTIF(D4:D23,"BACnet IP")</f>
        <v>6</v>
      </c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7"/>
    </row>
    <row r="29" customFormat="false" ht="15" hidden="false" customHeight="true" outlineLevel="0" collapsed="false">
      <c r="A29" s="5" t="s">
        <v>678</v>
      </c>
      <c r="B29" s="5"/>
      <c r="C29" s="5"/>
      <c r="D29" s="5"/>
      <c r="E29" s="16" t="n">
        <f aca="false">COUNTIF(D4:D23,"BACnet MSTP")</f>
        <v>12</v>
      </c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7"/>
    </row>
    <row r="30" customFormat="false" ht="15" hidden="false" customHeight="true" outlineLevel="0" collapsed="false">
      <c r="A30" s="5" t="s">
        <v>679</v>
      </c>
      <c r="B30" s="5"/>
      <c r="C30" s="5"/>
      <c r="D30" s="5"/>
      <c r="E30" s="16" t="n">
        <f aca="false">COUNTIF(D4:D23,"Hardwired")</f>
        <v>2</v>
      </c>
      <c r="F30" s="16"/>
      <c r="G30" s="16"/>
      <c r="H30" s="16"/>
      <c r="I30" s="17"/>
      <c r="J30" s="17"/>
      <c r="K30" s="17"/>
      <c r="L30" s="17"/>
      <c r="M30" s="17"/>
      <c r="N30" s="17"/>
      <c r="O30" s="17"/>
      <c r="P30" s="17"/>
    </row>
    <row r="31" customFormat="false" ht="15" hidden="false" customHeight="true" outlineLevel="0" collapsed="false">
      <c r="A31" s="5" t="s">
        <v>680</v>
      </c>
      <c r="B31" s="5"/>
      <c r="C31" s="5"/>
      <c r="D31" s="5"/>
      <c r="E31" s="16" t="n">
        <f aca="false">COUNTIF(E4:E23,"Digital")</f>
        <v>4</v>
      </c>
      <c r="F31" s="16"/>
      <c r="G31" s="16"/>
      <c r="H31" s="16"/>
      <c r="I31" s="17"/>
      <c r="J31" s="17"/>
      <c r="K31" s="17"/>
      <c r="L31" s="17"/>
      <c r="M31" s="17"/>
      <c r="N31" s="17"/>
      <c r="O31" s="17"/>
      <c r="P31" s="17"/>
    </row>
    <row r="32" customFormat="false" ht="15" hidden="false" customHeight="true" outlineLevel="0" collapsed="false">
      <c r="A32" s="5" t="s">
        <v>681</v>
      </c>
      <c r="B32" s="5"/>
      <c r="C32" s="5"/>
      <c r="D32" s="5"/>
      <c r="E32" s="16" t="n">
        <f aca="false">COUNTIF(E4:E23,"4-20mA")</f>
        <v>13</v>
      </c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</row>
    <row r="34" customFormat="false" ht="4.5" hidden="false" customHeight="true" outlineLevel="0" collapsed="false"/>
    <row r="35" customFormat="false" ht="13.5" hidden="false" customHeight="true" outlineLevel="0" collapsed="false">
      <c r="A35" s="9" t="s">
        <v>29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</sheetData>
  <mergeCells count="18">
    <mergeCell ref="A1:H1"/>
    <mergeCell ref="I1:P1"/>
    <mergeCell ref="A2:P2"/>
    <mergeCell ref="A24:P24"/>
    <mergeCell ref="A26:P26"/>
    <mergeCell ref="A27:D27"/>
    <mergeCell ref="E27:H27"/>
    <mergeCell ref="A28:D28"/>
    <mergeCell ref="E28:H28"/>
    <mergeCell ref="A29:D29"/>
    <mergeCell ref="E29:H29"/>
    <mergeCell ref="A30:D30"/>
    <mergeCell ref="E30:H30"/>
    <mergeCell ref="A31:D31"/>
    <mergeCell ref="E31:H31"/>
    <mergeCell ref="A32:D32"/>
    <mergeCell ref="E32:H32"/>
    <mergeCell ref="A35:P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8" min="7" style="0" width="14"/>
    <col collapsed="false" customWidth="true" hidden="false" outlineLevel="0" max="14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7.5" hidden="false" customHeight="true" outlineLevel="0" collapsed="false"/>
    <row r="3" customFormat="false" ht="30" hidden="false" customHeight="true" outlineLevel="0" collapsed="false">
      <c r="A3" s="18" t="s">
        <v>682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customFormat="false" ht="19.5" hidden="false" customHeight="true" outlineLevel="0" collapsed="false">
      <c r="A5" s="4" t="s">
        <v>683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7.75" hidden="false" customHeight="true" outlineLevel="0" collapsed="false">
      <c r="A6" s="11" t="s">
        <v>684</v>
      </c>
      <c r="B6" s="11" t="s">
        <v>685</v>
      </c>
      <c r="C6" s="11" t="s">
        <v>686</v>
      </c>
      <c r="D6" s="11" t="s">
        <v>687</v>
      </c>
      <c r="E6" s="11" t="s">
        <v>87</v>
      </c>
      <c r="F6" s="11" t="s">
        <v>47</v>
      </c>
    </row>
    <row r="7" customFormat="false" ht="15" hidden="false" customHeight="true" outlineLevel="0" collapsed="false">
      <c r="A7" s="6" t="s">
        <v>688</v>
      </c>
      <c r="B7" s="12" t="s">
        <v>689</v>
      </c>
      <c r="C7" s="12" t="s">
        <v>690</v>
      </c>
      <c r="D7" s="12"/>
      <c r="E7" s="12" t="s">
        <v>122</v>
      </c>
      <c r="F7" s="12" t="s">
        <v>691</v>
      </c>
    </row>
    <row r="8" customFormat="false" ht="15" hidden="false" customHeight="true" outlineLevel="0" collapsed="false">
      <c r="A8" s="13" t="s">
        <v>692</v>
      </c>
      <c r="B8" s="14" t="s">
        <v>693</v>
      </c>
      <c r="C8" s="14" t="s">
        <v>694</v>
      </c>
      <c r="D8" s="14"/>
      <c r="E8" s="14" t="s">
        <v>122</v>
      </c>
      <c r="F8" s="14" t="s">
        <v>695</v>
      </c>
    </row>
    <row r="9" customFormat="false" ht="15" hidden="false" customHeight="true" outlineLevel="0" collapsed="false">
      <c r="A9" s="6" t="s">
        <v>696</v>
      </c>
      <c r="B9" s="12" t="s">
        <v>237</v>
      </c>
      <c r="C9" s="12" t="s">
        <v>694</v>
      </c>
      <c r="D9" s="12"/>
      <c r="E9" s="12" t="s">
        <v>144</v>
      </c>
      <c r="F9" s="12" t="s">
        <v>695</v>
      </c>
    </row>
    <row r="10" customFormat="false" ht="15" hidden="false" customHeight="true" outlineLevel="0" collapsed="false">
      <c r="A10" s="13" t="s">
        <v>697</v>
      </c>
      <c r="B10" s="14" t="s">
        <v>237</v>
      </c>
      <c r="C10" s="14" t="s">
        <v>694</v>
      </c>
      <c r="D10" s="14"/>
      <c r="E10" s="14" t="s">
        <v>122</v>
      </c>
      <c r="F10" s="14" t="s">
        <v>698</v>
      </c>
    </row>
    <row r="11" customFormat="false" ht="15" hidden="false" customHeight="true" outlineLevel="0" collapsed="false">
      <c r="A11" s="6" t="s">
        <v>699</v>
      </c>
      <c r="B11" s="12" t="s">
        <v>227</v>
      </c>
      <c r="C11" s="12" t="s">
        <v>694</v>
      </c>
      <c r="D11" s="12"/>
      <c r="E11" s="12" t="s">
        <v>122</v>
      </c>
      <c r="F11" s="12" t="s">
        <v>698</v>
      </c>
    </row>
    <row r="12" customFormat="false" ht="15" hidden="false" customHeight="true" outlineLevel="0" collapsed="false">
      <c r="A12" s="13" t="s">
        <v>700</v>
      </c>
      <c r="B12" s="14" t="s">
        <v>238</v>
      </c>
      <c r="C12" s="14" t="s">
        <v>694</v>
      </c>
      <c r="D12" s="14"/>
      <c r="E12" s="14" t="s">
        <v>122</v>
      </c>
      <c r="F12" s="14" t="s">
        <v>698</v>
      </c>
    </row>
    <row r="13" customFormat="false" ht="15" hidden="false" customHeight="true" outlineLevel="0" collapsed="false">
      <c r="A13" s="6" t="s">
        <v>701</v>
      </c>
      <c r="B13" s="12" t="s">
        <v>227</v>
      </c>
      <c r="C13" s="12" t="s">
        <v>702</v>
      </c>
      <c r="D13" s="12"/>
      <c r="E13" s="12" t="s">
        <v>703</v>
      </c>
      <c r="F13" s="12" t="s">
        <v>704</v>
      </c>
    </row>
    <row r="14" customFormat="false" ht="15" hidden="false" customHeight="true" outlineLevel="0" collapsed="false">
      <c r="A14" s="13" t="s">
        <v>705</v>
      </c>
      <c r="B14" s="14" t="s">
        <v>227</v>
      </c>
      <c r="C14" s="14" t="s">
        <v>702</v>
      </c>
      <c r="D14" s="14"/>
      <c r="E14" s="14" t="s">
        <v>706</v>
      </c>
      <c r="F14" s="14" t="s">
        <v>704</v>
      </c>
    </row>
    <row r="15" customFormat="false" ht="15" hidden="false" customHeight="true" outlineLevel="0" collapsed="false">
      <c r="A15" s="6" t="s">
        <v>707</v>
      </c>
      <c r="B15" s="12" t="s">
        <v>208</v>
      </c>
      <c r="C15" s="12" t="s">
        <v>708</v>
      </c>
      <c r="D15" s="12"/>
      <c r="E15" s="12" t="s">
        <v>122</v>
      </c>
      <c r="F15" s="12" t="s">
        <v>704</v>
      </c>
    </row>
    <row r="16" customFormat="false" ht="15" hidden="false" customHeight="true" outlineLevel="0" collapsed="false">
      <c r="A16" s="13" t="s">
        <v>709</v>
      </c>
      <c r="B16" s="14" t="s">
        <v>238</v>
      </c>
      <c r="C16" s="14" t="s">
        <v>702</v>
      </c>
      <c r="D16" s="14"/>
      <c r="E16" s="14" t="s">
        <v>145</v>
      </c>
      <c r="F16" s="14" t="s">
        <v>704</v>
      </c>
    </row>
    <row r="17" customFormat="false" ht="15" hidden="false" customHeight="true" outlineLevel="0" collapsed="false">
      <c r="A17" s="6" t="s">
        <v>710</v>
      </c>
      <c r="B17" s="12" t="s">
        <v>711</v>
      </c>
      <c r="C17" s="12" t="s">
        <v>690</v>
      </c>
      <c r="D17" s="12"/>
      <c r="E17" s="12" t="s">
        <v>706</v>
      </c>
      <c r="F17" s="12" t="s">
        <v>712</v>
      </c>
    </row>
    <row r="18" customFormat="false" ht="15" hidden="false" customHeight="true" outlineLevel="0" collapsed="false">
      <c r="A18" s="13" t="s">
        <v>713</v>
      </c>
      <c r="B18" s="14" t="s">
        <v>714</v>
      </c>
      <c r="C18" s="14" t="s">
        <v>690</v>
      </c>
      <c r="D18" s="14"/>
      <c r="E18" s="14" t="s">
        <v>715</v>
      </c>
      <c r="F18" s="14" t="s">
        <v>716</v>
      </c>
    </row>
    <row r="19" customFormat="false" ht="15" hidden="false" customHeight="true" outlineLevel="0" collapsed="false">
      <c r="A19" s="6" t="s">
        <v>717</v>
      </c>
      <c r="B19" s="12" t="s">
        <v>714</v>
      </c>
      <c r="C19" s="12" t="s">
        <v>145</v>
      </c>
      <c r="D19" s="12"/>
      <c r="E19" s="12" t="s">
        <v>718</v>
      </c>
      <c r="F19" s="12" t="s">
        <v>719</v>
      </c>
    </row>
    <row r="20" customFormat="false" ht="15" hidden="false" customHeight="true" outlineLevel="0" collapsed="false">
      <c r="A20" s="13" t="s">
        <v>720</v>
      </c>
      <c r="B20" s="14" t="s">
        <v>693</v>
      </c>
      <c r="C20" s="14" t="s">
        <v>721</v>
      </c>
      <c r="D20" s="14"/>
      <c r="E20" s="14" t="s">
        <v>122</v>
      </c>
      <c r="F20" s="14" t="s">
        <v>722</v>
      </c>
    </row>
    <row r="21" customFormat="false" ht="15.75" hidden="false" customHeight="true" outlineLevel="0" collapsed="false">
      <c r="A21" s="15" t="s">
        <v>723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3" customFormat="false" ht="19.5" hidden="false" customHeight="true" outlineLevel="0" collapsed="false">
      <c r="A23" s="4" t="s">
        <v>724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true" outlineLevel="0" collapsed="false">
      <c r="A24" s="5" t="s">
        <v>725</v>
      </c>
      <c r="B24" s="6"/>
      <c r="C24" s="6"/>
      <c r="D24" s="6"/>
      <c r="E24" s="6"/>
      <c r="F24" s="6"/>
      <c r="G24" s="5"/>
      <c r="H24" s="6"/>
      <c r="I24" s="6"/>
      <c r="J24" s="6"/>
      <c r="K24" s="6"/>
      <c r="L24" s="6"/>
      <c r="M24" s="6"/>
      <c r="N24" s="6"/>
    </row>
    <row r="25" customFormat="false" ht="15" hidden="false" customHeight="true" outlineLevel="0" collapsed="false">
      <c r="A25" s="5" t="s">
        <v>726</v>
      </c>
      <c r="B25" s="6"/>
      <c r="C25" s="6"/>
      <c r="D25" s="6"/>
      <c r="E25" s="6"/>
      <c r="F25" s="6"/>
      <c r="G25" s="5"/>
      <c r="H25" s="6"/>
      <c r="I25" s="6"/>
      <c r="J25" s="6"/>
      <c r="K25" s="6"/>
      <c r="L25" s="6"/>
      <c r="M25" s="6"/>
      <c r="N25" s="6"/>
    </row>
    <row r="26" customFormat="false" ht="15" hidden="false" customHeight="true" outlineLevel="0" collapsed="false">
      <c r="A26" s="5" t="s">
        <v>727</v>
      </c>
      <c r="B26" s="6"/>
      <c r="C26" s="6"/>
      <c r="D26" s="6"/>
      <c r="E26" s="6"/>
      <c r="F26" s="6"/>
      <c r="G26" s="5"/>
      <c r="H26" s="6"/>
      <c r="I26" s="6"/>
      <c r="J26" s="6"/>
      <c r="K26" s="6"/>
      <c r="L26" s="6"/>
      <c r="M26" s="6"/>
      <c r="N26" s="6"/>
    </row>
    <row r="27" customFormat="false" ht="15" hidden="false" customHeight="true" outlineLevel="0" collapsed="false">
      <c r="A27" s="5" t="s">
        <v>728</v>
      </c>
      <c r="B27" s="6"/>
      <c r="C27" s="6"/>
      <c r="D27" s="6"/>
      <c r="E27" s="6"/>
      <c r="F27" s="6"/>
      <c r="G27" s="5"/>
      <c r="H27" s="6"/>
      <c r="I27" s="6"/>
      <c r="J27" s="6"/>
      <c r="K27" s="6"/>
      <c r="L27" s="6"/>
      <c r="M27" s="6"/>
      <c r="N27" s="6"/>
    </row>
    <row r="28" customFormat="false" ht="15" hidden="false" customHeight="true" outlineLevel="0" collapsed="false">
      <c r="A28" s="5" t="s">
        <v>729</v>
      </c>
      <c r="B28" s="6"/>
      <c r="C28" s="6"/>
      <c r="D28" s="6"/>
      <c r="E28" s="6"/>
      <c r="F28" s="6"/>
      <c r="G28" s="5"/>
      <c r="H28" s="6"/>
      <c r="I28" s="6"/>
      <c r="J28" s="6"/>
      <c r="K28" s="6"/>
      <c r="L28" s="6"/>
      <c r="M28" s="6"/>
      <c r="N28" s="6"/>
    </row>
    <row r="29" customFormat="false" ht="15" hidden="false" customHeight="true" outlineLevel="0" collapsed="false">
      <c r="A29" s="5" t="s">
        <v>730</v>
      </c>
      <c r="B29" s="6"/>
      <c r="C29" s="6"/>
      <c r="D29" s="6"/>
      <c r="E29" s="6"/>
      <c r="F29" s="6"/>
      <c r="G29" s="5"/>
      <c r="H29" s="6"/>
      <c r="I29" s="6"/>
      <c r="J29" s="6"/>
      <c r="K29" s="6"/>
      <c r="L29" s="6"/>
      <c r="M29" s="6"/>
      <c r="N29" s="6"/>
    </row>
    <row r="30" customFormat="false" ht="15" hidden="false" customHeight="true" outlineLevel="0" collapsed="false">
      <c r="A30" s="5" t="s">
        <v>731</v>
      </c>
      <c r="B30" s="6"/>
      <c r="C30" s="6"/>
      <c r="D30" s="6"/>
      <c r="E30" s="6"/>
      <c r="F30" s="6"/>
      <c r="G30" s="5"/>
      <c r="H30" s="6"/>
      <c r="I30" s="6"/>
      <c r="J30" s="6"/>
      <c r="K30" s="6"/>
      <c r="L30" s="6"/>
      <c r="M30" s="6"/>
      <c r="N30" s="6"/>
    </row>
    <row r="31" customFormat="false" ht="15" hidden="false" customHeight="true" outlineLevel="0" collapsed="false">
      <c r="A31" s="5" t="s">
        <v>732</v>
      </c>
      <c r="B31" s="6"/>
      <c r="C31" s="6"/>
      <c r="D31" s="6"/>
      <c r="E31" s="6"/>
      <c r="F31" s="6"/>
      <c r="G31" s="5"/>
      <c r="H31" s="6"/>
      <c r="I31" s="6"/>
      <c r="J31" s="6"/>
      <c r="K31" s="6"/>
      <c r="L31" s="6"/>
      <c r="M31" s="6"/>
      <c r="N31" s="6"/>
    </row>
    <row r="32" customFormat="false" ht="15" hidden="false" customHeight="true" outlineLevel="0" collapsed="false">
      <c r="A32" s="5" t="s">
        <v>733</v>
      </c>
      <c r="B32" s="6"/>
      <c r="C32" s="6"/>
      <c r="D32" s="6"/>
      <c r="E32" s="6"/>
      <c r="F32" s="6"/>
      <c r="G32" s="5"/>
      <c r="H32" s="6"/>
      <c r="I32" s="6"/>
      <c r="J32" s="6"/>
      <c r="K32" s="6"/>
      <c r="L32" s="6"/>
      <c r="M32" s="6"/>
      <c r="N32" s="6"/>
    </row>
    <row r="33" customFormat="false" ht="15" hidden="false" customHeight="true" outlineLevel="0" collapsed="false">
      <c r="A33" s="5" t="s">
        <v>734</v>
      </c>
      <c r="B33" s="6"/>
      <c r="C33" s="6"/>
      <c r="D33" s="6"/>
      <c r="E33" s="6"/>
      <c r="F33" s="6"/>
      <c r="G33" s="5"/>
      <c r="H33" s="6"/>
      <c r="I33" s="6"/>
      <c r="J33" s="6"/>
      <c r="K33" s="6"/>
      <c r="L33" s="6"/>
      <c r="M33" s="6"/>
      <c r="N33" s="6"/>
    </row>
    <row r="34" customFormat="false" ht="15" hidden="false" customHeight="true" outlineLevel="0" collapsed="false">
      <c r="A34" s="5" t="s">
        <v>735</v>
      </c>
      <c r="B34" s="6"/>
      <c r="C34" s="6"/>
      <c r="D34" s="6"/>
      <c r="E34" s="6"/>
      <c r="F34" s="6"/>
      <c r="G34" s="5"/>
      <c r="H34" s="6"/>
      <c r="I34" s="6"/>
      <c r="J34" s="6"/>
      <c r="K34" s="6"/>
      <c r="L34" s="6"/>
      <c r="M34" s="6"/>
      <c r="N34" s="6"/>
    </row>
    <row r="35" customFormat="false" ht="15" hidden="false" customHeight="true" outlineLevel="0" collapsed="false">
      <c r="A35" s="5" t="s">
        <v>736</v>
      </c>
      <c r="B35" s="6"/>
      <c r="C35" s="6"/>
      <c r="D35" s="6"/>
      <c r="E35" s="6"/>
      <c r="F35" s="6"/>
      <c r="G35" s="5"/>
      <c r="H35" s="6"/>
      <c r="I35" s="6"/>
      <c r="J35" s="6"/>
      <c r="K35" s="6"/>
      <c r="L35" s="6"/>
      <c r="M35" s="6"/>
      <c r="N35" s="6"/>
    </row>
    <row r="37" customFormat="false" ht="19.5" hidden="false" customHeight="true" outlineLevel="0" collapsed="false">
      <c r="A37" s="4" t="s">
        <v>737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.75" hidden="false" customHeight="true" outlineLevel="0" collapsed="false">
      <c r="A38" s="5" t="s">
        <v>27</v>
      </c>
      <c r="B38" s="6"/>
      <c r="C38" s="6"/>
      <c r="D38" s="6"/>
      <c r="E38" s="6"/>
      <c r="F38" s="6"/>
      <c r="G38" s="5" t="s">
        <v>28</v>
      </c>
      <c r="H38" s="6"/>
      <c r="I38" s="6"/>
      <c r="J38" s="6"/>
      <c r="K38" s="6"/>
      <c r="L38" s="6"/>
      <c r="M38" s="6"/>
      <c r="N38" s="6"/>
    </row>
    <row r="39" customFormat="false" ht="15.75" hidden="false" customHeight="true" outlineLevel="0" collapsed="false">
      <c r="A39" s="5" t="s">
        <v>738</v>
      </c>
      <c r="B39" s="6"/>
      <c r="C39" s="6"/>
      <c r="D39" s="6"/>
      <c r="E39" s="6"/>
      <c r="F39" s="6"/>
      <c r="G39" s="5" t="s">
        <v>739</v>
      </c>
      <c r="H39" s="6"/>
      <c r="I39" s="6"/>
      <c r="J39" s="6"/>
      <c r="K39" s="6"/>
      <c r="L39" s="6"/>
      <c r="M39" s="6"/>
      <c r="N39" s="6"/>
    </row>
    <row r="40" customFormat="false" ht="15.75" hidden="false" customHeight="true" outlineLevel="0" collapsed="false">
      <c r="A40" s="5" t="s">
        <v>740</v>
      </c>
      <c r="B40" s="6"/>
      <c r="C40" s="6"/>
      <c r="D40" s="6"/>
      <c r="E40" s="6"/>
      <c r="F40" s="6"/>
      <c r="G40" s="5" t="s">
        <v>26</v>
      </c>
      <c r="H40" s="6"/>
      <c r="I40" s="6"/>
      <c r="J40" s="6"/>
      <c r="K40" s="6"/>
      <c r="L40" s="6"/>
      <c r="M40" s="6"/>
      <c r="N40" s="6"/>
    </row>
    <row r="41" customFormat="false" ht="15.75" hidden="false" customHeight="true" outlineLevel="0" collapsed="false">
      <c r="A41" s="5" t="s">
        <v>741</v>
      </c>
      <c r="B41" s="6"/>
      <c r="C41" s="6"/>
      <c r="D41" s="6"/>
      <c r="E41" s="6"/>
      <c r="F41" s="6"/>
      <c r="G41" s="5" t="s">
        <v>742</v>
      </c>
      <c r="H41" s="6"/>
      <c r="I41" s="6"/>
      <c r="J41" s="6"/>
      <c r="K41" s="6"/>
      <c r="L41" s="6"/>
      <c r="M41" s="6"/>
      <c r="N41" s="6"/>
    </row>
    <row r="43" customFormat="false" ht="4.5" hidden="false" customHeight="true" outlineLevel="0" collapsed="false"/>
    <row r="44" customFormat="false" ht="13.5" hidden="false" customHeight="true" outlineLevel="0" collapsed="false">
      <c r="A44" s="9" t="s">
        <v>29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</sheetData>
  <mergeCells count="40">
    <mergeCell ref="A1:G1"/>
    <mergeCell ref="H1:N1"/>
    <mergeCell ref="A3:N3"/>
    <mergeCell ref="A5:N5"/>
    <mergeCell ref="A21:N21"/>
    <mergeCell ref="A23:N23"/>
    <mergeCell ref="B24:F24"/>
    <mergeCell ref="H24:N24"/>
    <mergeCell ref="B25:F25"/>
    <mergeCell ref="H25:N25"/>
    <mergeCell ref="B26:F26"/>
    <mergeCell ref="H26:N26"/>
    <mergeCell ref="B27:F27"/>
    <mergeCell ref="H27:N27"/>
    <mergeCell ref="B28:F28"/>
    <mergeCell ref="H28:N28"/>
    <mergeCell ref="B29:F29"/>
    <mergeCell ref="H29:N29"/>
    <mergeCell ref="B30:F30"/>
    <mergeCell ref="H30:N30"/>
    <mergeCell ref="B31:F31"/>
    <mergeCell ref="H31:N31"/>
    <mergeCell ref="B32:F32"/>
    <mergeCell ref="H32:N32"/>
    <mergeCell ref="B33:F33"/>
    <mergeCell ref="H33:N33"/>
    <mergeCell ref="B34:F34"/>
    <mergeCell ref="H34:N34"/>
    <mergeCell ref="B35:F35"/>
    <mergeCell ref="H35:N35"/>
    <mergeCell ref="A37:N37"/>
    <mergeCell ref="B38:F38"/>
    <mergeCell ref="H38:N38"/>
    <mergeCell ref="B39:F39"/>
    <mergeCell ref="H39:N39"/>
    <mergeCell ref="B40:F40"/>
    <mergeCell ref="H40:N40"/>
    <mergeCell ref="B41:F41"/>
    <mergeCell ref="H41:N41"/>
    <mergeCell ref="A44:N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2026-03-20T12:39:43Z</dcterms:created>
  <dc:creator>openpyxl</dc:creator>
  <dc:description/>
  <dc:language>en-US</dc:language>
  <cp:lastModifiedBy/>
  <dcterms:modified xsi:type="dcterms:W3CDTF">2026-03-20T12:39:43Z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