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Filter Change Log" sheetId="2" state="visible" r:id="rId4"/>
    <sheet name="Filter Inventory" sheetId="3" state="visible" r:id="rId5"/>
    <sheet name="∆P Pressure Tracking" sheetId="4" state="visible" r:id="rId6"/>
    <sheet name="Maintenance Checklist" sheetId="5" state="visible" r:id="rId7"/>
    <sheet name="Deficiency Log" sheetId="6" state="visible" r:id="rId8"/>
    <sheet name="Annual 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<sst xmlns="http://schemas.openxmlformats.org/spreadsheetml/2006/main" count="297" uniqueCount="175">
  <si>
    <t xml:space="preserve">Your HVAC Co.</t>
  </si>
  <si>
    <t xml:space="preserve">HVAC Filter Change Log</t>
  </si>
  <si>
    <t xml:space="preserve">FILTER CHANGE LOG</t>
  </si>
  <si>
    <t xml:space="preserve">  📋  PROPERTY &amp; LOG INFORMATION</t>
  </si>
  <si>
    <t xml:space="preserve">Property / Site Name:</t>
  </si>
  <si>
    <t xml:space="preserve">Log Number:</t>
  </si>
  <si>
    <t xml:space="preserve">Property Address:</t>
  </si>
  <si>
    <t xml:space="preserve">Log Start Date:</t>
  </si>
  <si>
    <t xml:space="preserve">Building Type:</t>
  </si>
  <si>
    <t xml:space="preserve">Log End Date:</t>
  </si>
  <si>
    <t xml:space="preserve">Owner / Manager:</t>
  </si>
  <si>
    <t xml:space="preserve">Technician Name:</t>
  </si>
  <si>
    <t xml:space="preserve">Owner Contact Phone:</t>
  </si>
  <si>
    <t xml:space="preserve">Tech License #:</t>
  </si>
  <si>
    <t xml:space="preserve">Owner Email:</t>
  </si>
  <si>
    <t xml:space="preserve">Company:</t>
  </si>
  <si>
    <t xml:space="preserve">  ⚙️  SYSTEM / AHU INFORMATION</t>
  </si>
  <si>
    <t xml:space="preserve">System / AHU Tag:</t>
  </si>
  <si>
    <t xml:space="preserve">Equipment Model #:</t>
  </si>
  <si>
    <t xml:space="preserve">System Type:</t>
  </si>
  <si>
    <t xml:space="preserve">Equipment Serial #:</t>
  </si>
  <si>
    <t xml:space="preserve">Manufacturer:</t>
  </si>
  <si>
    <t xml:space="preserve">Refrigerant Type:</t>
  </si>
  <si>
    <t xml:space="preserve">Location / Area Served:</t>
  </si>
  <si>
    <t xml:space="preserve">Nominal Tonnage:</t>
  </si>
  <si>
    <t xml:space="preserve">Design CFM (Supply):</t>
  </si>
  <si>
    <t xml:space="preserve">Motor HP:</t>
  </si>
  <si>
    <t xml:space="preserve">Number of Filter Racks:</t>
  </si>
  <si>
    <t xml:space="preserve">Drive Type:</t>
  </si>
  <si>
    <t xml:space="preserve">  🔧  FILTER SPECIFICATIONS</t>
  </si>
  <si>
    <t xml:space="preserve">Filter Type / Brand:</t>
  </si>
  <si>
    <t xml:space="preserve">MERV Rating:</t>
  </si>
  <si>
    <t xml:space="preserve">Filter Size (in.):</t>
  </si>
  <si>
    <t xml:space="preserve">Filter Thickness:</t>
  </si>
  <si>
    <t xml:space="preserve">Qty of Filters per AHU:</t>
  </si>
  <si>
    <t xml:space="preserve">Replacement Interval:</t>
  </si>
  <si>
    <t xml:space="preserve">Max ∆P Clean (in. wg):</t>
  </si>
  <si>
    <t xml:space="preserve">Max ∆P Dirty (in. wg):</t>
  </si>
  <si>
    <t xml:space="preserve">Pre-Filter Type:</t>
  </si>
  <si>
    <t xml:space="preserve">Pre-Filter MERV:</t>
  </si>
  <si>
    <t xml:space="preserve">  ✅  CERTIFICATION &amp; SIGN-OFF</t>
  </si>
  <si>
    <t xml:space="preserve">Certified Technician:</t>
  </si>
  <si>
    <t xml:space="preserve">Signature:</t>
  </si>
  <si>
    <t xml:space="preserve">EPA 608 Cert #:</t>
  </si>
  <si>
    <t xml:space="preserve">Date:</t>
  </si>
  <si>
    <t xml:space="preserve">NATE Cert #:</t>
  </si>
  <si>
    <t xml:space="preserve">Stamp / Seal:</t>
  </si>
  <si>
    <t xml:space="preserve">Owner / Rep Acceptance:</t>
  </si>
  <si>
    <t xml:space="preserve">Your HVAC Co.  •  Rogers, AR  •  (479) 555-0100  •  www.yourhvacco.com</t>
  </si>
  <si>
    <t xml:space="preserve">  🔧  FILTER CHANGE SERVICE LOG</t>
  </si>
  <si>
    <t xml:space="preserve">Log #</t>
  </si>
  <si>
    <t xml:space="preserve">Date Changed</t>
  </si>
  <si>
    <t xml:space="preserve">System / AHU Tag</t>
  </si>
  <si>
    <t xml:space="preserve">Filter Location / Rack</t>
  </si>
  <si>
    <t xml:space="preserve">Filter Type</t>
  </si>
  <si>
    <t xml:space="preserve">MERV</t>
  </si>
  <si>
    <t xml:space="preserve">Filter Size (in.)</t>
  </si>
  <si>
    <t xml:space="preserve">Qty Changed</t>
  </si>
  <si>
    <t xml:space="preserve">∆P Before (in. wg)</t>
  </si>
  <si>
    <t xml:space="preserve">∆P After (in. wg)</t>
  </si>
  <si>
    <t xml:space="preserve">Condition Found</t>
  </si>
  <si>
    <t xml:space="preserve">Technician</t>
  </si>
  <si>
    <t xml:space="preserve">Notes / Deficiencies</t>
  </si>
  <si>
    <t xml:space="preserve">LOG TOTALS</t>
  </si>
  <si>
    <t xml:space="preserve">  📊  LOG SUMMARY</t>
  </si>
  <si>
    <t xml:space="preserve">Total Filter Changes This Period:</t>
  </si>
  <si>
    <t xml:space="preserve">Number of Service Visits:</t>
  </si>
  <si>
    <t xml:space="preserve">Systems / AHUs in Log:</t>
  </si>
  <si>
    <t xml:space="preserve">Deficiencies / Noted Issues:</t>
  </si>
  <si>
    <t xml:space="preserve">  📦  FILTER INVENTORY &amp; PAR LEVELS</t>
  </si>
  <si>
    <t xml:space="preserve">Filter Type / Brand</t>
  </si>
  <si>
    <t xml:space="preserve">MERV Rating</t>
  </si>
  <si>
    <t xml:space="preserve">Qty On Hand</t>
  </si>
  <si>
    <t xml:space="preserve">PAR Level (Min)</t>
  </si>
  <si>
    <t xml:space="preserve">Reorder Qty</t>
  </si>
  <si>
    <t xml:space="preserve">Supplier</t>
  </si>
  <si>
    <t xml:space="preserve">Part # / SKU</t>
  </si>
  <si>
    <t xml:space="preserve">Unit Cost ($)</t>
  </si>
  <si>
    <t xml:space="preserve">Notes</t>
  </si>
  <si>
    <t xml:space="preserve">  📐  FILTER DIFFERENTIAL PRESSURE HISTORY</t>
  </si>
  <si>
    <t xml:space="preserve">Date</t>
  </si>
  <si>
    <t xml:space="preserve">∆P Reading (in. wg)</t>
  </si>
  <si>
    <t xml:space="preserve">Filter Condition</t>
  </si>
  <si>
    <t xml:space="preserve">Action Taken</t>
  </si>
  <si>
    <t xml:space="preserve">Clean ∆P Spec</t>
  </si>
  <si>
    <t xml:space="preserve">Dirty ∆P Limit</t>
  </si>
  <si>
    <t xml:space="preserve">% of Limit</t>
  </si>
  <si>
    <t xml:space="preserve">Status</t>
  </si>
  <si>
    <t xml:space="preserve">  ☑️  FILTER CHANGE MAINTENANCE CHECKLIST</t>
  </si>
  <si>
    <t xml:space="preserve">Checklist Item</t>
  </si>
  <si>
    <t xml:space="preserve">Pass</t>
  </si>
  <si>
    <t xml:space="preserve">Fail</t>
  </si>
  <si>
    <t xml:space="preserve">N/A</t>
  </si>
  <si>
    <t xml:space="preserve">Notes / Corrective Action</t>
  </si>
  <si>
    <t xml:space="preserve">  ▶  PRE-CHANGE INSPECTION</t>
  </si>
  <si>
    <t xml:space="preserve">   Verify filter size and MERV rating match specification</t>
  </si>
  <si>
    <t xml:space="preserve">☐</t>
  </si>
  <si>
    <t xml:space="preserve">   Inspect filter housing/rack for damage or corrosion</t>
  </si>
  <si>
    <t xml:space="preserve">   Check access panel condition and seals</t>
  </si>
  <si>
    <t xml:space="preserve">   Record differential pressure before filter removal (∆P Before)</t>
  </si>
  <si>
    <t xml:space="preserve">   Confirm correct filter quantity on hand before starting</t>
  </si>
  <si>
    <t xml:space="preserve">   Verify system is powered off / locked out (LOTO)</t>
  </si>
  <si>
    <t xml:space="preserve">   Don appropriate PPE (gloves, dust mask, safety glasses)</t>
  </si>
  <si>
    <t xml:space="preserve">   Inspect upstream ductwork for debris or blockage</t>
  </si>
  <si>
    <t xml:space="preserve">  ▶  FILTER REMOVAL &amp; INSTALLATION</t>
  </si>
  <si>
    <t xml:space="preserve">   Remove old filters carefully — minimize dust disturbance</t>
  </si>
  <si>
    <t xml:space="preserve">   Inspect filter housing/rack for debris — clean if needed</t>
  </si>
  <si>
    <t xml:space="preserve">   Note condition of removed filters (loading, damage, bypass)</t>
  </si>
  <si>
    <t xml:space="preserve">   Verify new filter airflow direction arrow matches duct direction</t>
  </si>
  <si>
    <t xml:space="preserve">   Ensure filter fits snugly — no gaps around frame edges</t>
  </si>
  <si>
    <t xml:space="preserve">   All filter racks/banks fully loaded with no empty slots</t>
  </si>
  <si>
    <t xml:space="preserve">   Filter access door/panel reinstalled and properly latched</t>
  </si>
  <si>
    <t xml:space="preserve">   Used filters disposed of properly (bagged before removal)</t>
  </si>
  <si>
    <t xml:space="preserve">  ▶  POST-CHANGE VERIFICATION</t>
  </si>
  <si>
    <t xml:space="preserve">   System restarted after filter installation</t>
  </si>
  <si>
    <t xml:space="preserve">   Record differential pressure after filter installation (∆P After)</t>
  </si>
  <si>
    <t xml:space="preserve">   Verify ∆P After is within specification (clean filter baseline)</t>
  </si>
  <si>
    <t xml:space="preserve">   Inspect for air bypass around filter frame during operation</t>
  </si>
  <si>
    <t xml:space="preserve">   Verify system airflow / CFM not significantly reduced</t>
  </si>
  <si>
    <t xml:space="preserve">   Check motor amperage — confirm within normal range</t>
  </si>
  <si>
    <t xml:space="preserve">   Log filter change date, type, and quantity in Filter Change Log</t>
  </si>
  <si>
    <t xml:space="preserve">   Note any deficiencies, damage, or unusual findings</t>
  </si>
  <si>
    <t xml:space="preserve">   Notify owner/manager of any items requiring corrective action</t>
  </si>
  <si>
    <t xml:space="preserve">   Update filter inventory count</t>
  </si>
  <si>
    <t xml:space="preserve">  ▶  COIL &amp; DRAIN PAN INSPECTION (QUARTERLY)</t>
  </si>
  <si>
    <t xml:space="preserve">   Inspect evaporator/cooling coil for dirt or biological growth</t>
  </si>
  <si>
    <t xml:space="preserve">   Clean coil if fouling is present — document condition</t>
  </si>
  <si>
    <t xml:space="preserve">   Inspect condensate drain pan — free of standing water/debris</t>
  </si>
  <si>
    <t xml:space="preserve">   Verify condensate drain flows freely — no blockage</t>
  </si>
  <si>
    <t xml:space="preserve">   Check drain trap — primed and functional</t>
  </si>
  <si>
    <t xml:space="preserve">   Inspect coil fins — straighten if damaged</t>
  </si>
  <si>
    <t xml:space="preserve">  ⚠️  DEFICIENCY LOG &amp; CORRECTIVE ACTION TRACKING</t>
  </si>
  <si>
    <t xml:space="preserve">#</t>
  </si>
  <si>
    <t xml:space="preserve">System / Location</t>
  </si>
  <si>
    <t xml:space="preserve">Deficiency Description</t>
  </si>
  <si>
    <t xml:space="preserve">Corrective Action Required</t>
  </si>
  <si>
    <t xml:space="preserve">Assigned To</t>
  </si>
  <si>
    <t xml:space="preserve">Due Date</t>
  </si>
  <si>
    <t xml:space="preserve">Date Resolved</t>
  </si>
  <si>
    <t xml:space="preserve">  📊  DEFICIENCY SUMMARY</t>
  </si>
  <si>
    <t xml:space="preserve">Total Deficiencies Identified:</t>
  </si>
  <si>
    <t xml:space="preserve">Open / Unresolved:</t>
  </si>
  <si>
    <t xml:space="preserve">Resolved / Closed:</t>
  </si>
  <si>
    <t xml:space="preserve">Critical Items:</t>
  </si>
  <si>
    <t xml:space="preserve">FILTER CHANGE LOG — ANNUAL SUMMARY</t>
  </si>
  <si>
    <t xml:space="preserve">  📊  ANNUAL SERVICE FREQUENCY BY SYSTEM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</si>
  <si>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</si>
  <si>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</si>
  <si>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</si>
  <si>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</si>
  <si>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</si>
  <si>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</si>
  <si>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</si>
  <si>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</si>
  <si>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Annual Total</t>
  </si>
  <si>
    <t xml:space="preserve">AHU-01 — Main Air Handler</t>
  </si>
  <si>
    <t xml:space="preserve">AHU-02 — Rooftop Unit #1</t>
  </si>
  <si>
    <t xml:space="preserve">AHU-03 — Rooftop Unit #2</t>
  </si>
  <si>
    <t xml:space="preserve">AHU-04 — Server Room Unit</t>
  </si>
  <si>
    <t xml:space="preserve">AHU-05 — Exhaust Fan Unit</t>
  </si>
  <si>
    <t xml:space="preserve">AHU-06 — Make-Up Air Unit</t>
  </si>
  <si>
    <t xml:space="preserve">AHU-07 (User Defined)</t>
  </si>
  <si>
    <t xml:space="preserve">AHU-08 (User Defined)</t>
  </si>
  <si>
    <t xml:space="preserve">AHU-09 (User Defined)</t>
  </si>
  <si>
    <t xml:space="preserve">AHU-10 (User Defined)</t>
  </si>
  <si>
    <t xml:space="preserve">ANNUAL TOTALS</t>
  </si>
  <si>
    <t xml:space="preserve">  💰  ANNUAL FILTER COST SUMMARY</t>
  </si>
  <si>
    <t xml:space="preserve">Qty/Visit</t>
  </si>
  <si>
    <t xml:space="preserve">Visits/Year</t>
  </si>
  <si>
    <t xml:space="preserve">Total Qty/Year</t>
  </si>
  <si>
    <t xml:space="preserve">Annual Material Cost ($)</t>
  </si>
  <si>
    <t xml:space="preserve">Labor Hrs/Visit</t>
  </si>
  <si>
    <t xml:space="preserve">Labor Rate ($/hr)</t>
  </si>
  <si>
    <t xml:space="preserve">Annual Labor Cost ($)</t>
  </si>
  <si>
    <t xml:space="preserve">Total Annual Cost ($)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</si>
</sst>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20"/>
      <color rgb="FF1B3A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B3A6B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1B3A6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07B00"/>
        <bgColor rgb="FFFF9900"/>
      </patternFill>
    </fill>
    <fill>
      <patternFill patternType="solid">
        <fgColor rgb="FFD6E4F0"/>
        <bgColor rgb="FFF4F6F8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4F6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4F6F8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4.5" hidden="false" customHeight="true" outlineLevel="0" collapsed="false"/>
    <row r="5" customFormat="false" ht="21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true" outlineLevel="0" collapsed="false">
      <c r="A6" s="5" t="s">
        <v>4</v>
      </c>
      <c r="B6" s="5"/>
      <c r="C6" s="5"/>
      <c r="D6" s="6"/>
      <c r="E6" s="6"/>
      <c r="F6" s="6"/>
      <c r="G6" s="5" t="s">
        <v>5</v>
      </c>
      <c r="H6" s="5"/>
      <c r="I6" s="5"/>
      <c r="J6" s="6"/>
      <c r="K6" s="6"/>
      <c r="L6" s="6"/>
    </row>
    <row r="7" customFormat="false" ht="15" hidden="false" customHeight="true" outlineLevel="0" collapsed="false">
      <c r="A7" s="5" t="s">
        <v>6</v>
      </c>
      <c r="B7" s="5"/>
      <c r="C7" s="5"/>
      <c r="D7" s="7"/>
      <c r="E7" s="7"/>
      <c r="F7" s="7"/>
      <c r="G7" s="5" t="s">
        <v>7</v>
      </c>
      <c r="H7" s="5"/>
      <c r="I7" s="5"/>
      <c r="J7" s="7"/>
      <c r="K7" s="7"/>
      <c r="L7" s="7"/>
    </row>
    <row r="8" customFormat="false" ht="15" hidden="false" customHeight="true" outlineLevel="0" collapsed="false">
      <c r="A8" s="5" t="s">
        <v>8</v>
      </c>
      <c r="B8" s="5"/>
      <c r="C8" s="5"/>
      <c r="D8" s="6"/>
      <c r="E8" s="6"/>
      <c r="F8" s="6"/>
      <c r="G8" s="5" t="s">
        <v>9</v>
      </c>
      <c r="H8" s="5"/>
      <c r="I8" s="5"/>
      <c r="J8" s="6"/>
      <c r="K8" s="6"/>
      <c r="L8" s="6"/>
    </row>
    <row r="9" customFormat="false" ht="15" hidden="false" customHeight="true" outlineLevel="0" collapsed="false">
      <c r="A9" s="5" t="s">
        <v>10</v>
      </c>
      <c r="B9" s="5"/>
      <c r="C9" s="5"/>
      <c r="D9" s="7"/>
      <c r="E9" s="7"/>
      <c r="F9" s="7"/>
      <c r="G9" s="5" t="s">
        <v>11</v>
      </c>
      <c r="H9" s="5"/>
      <c r="I9" s="5"/>
      <c r="J9" s="7"/>
      <c r="K9" s="7"/>
      <c r="L9" s="7"/>
    </row>
    <row r="10" customFormat="false" ht="15" hidden="false" customHeight="true" outlineLevel="0" collapsed="false">
      <c r="A10" s="5" t="s">
        <v>12</v>
      </c>
      <c r="B10" s="5"/>
      <c r="C10" s="5"/>
      <c r="D10" s="6"/>
      <c r="E10" s="6"/>
      <c r="F10" s="6"/>
      <c r="G10" s="5" t="s">
        <v>13</v>
      </c>
      <c r="H10" s="5"/>
      <c r="I10" s="5"/>
      <c r="J10" s="6"/>
      <c r="K10" s="6"/>
      <c r="L10" s="6"/>
    </row>
    <row r="11" customFormat="false" ht="15" hidden="false" customHeight="true" outlineLevel="0" collapsed="false">
      <c r="A11" s="5" t="s">
        <v>14</v>
      </c>
      <c r="B11" s="5"/>
      <c r="C11" s="5"/>
      <c r="D11" s="7"/>
      <c r="E11" s="7"/>
      <c r="F11" s="7"/>
      <c r="G11" s="5" t="s">
        <v>15</v>
      </c>
      <c r="H11" s="5"/>
      <c r="I11" s="5"/>
      <c r="J11" s="7"/>
      <c r="K11" s="7"/>
      <c r="L11" s="7"/>
    </row>
    <row r="12" customFormat="false" ht="4.5" hidden="false" customHeight="true" outlineLevel="0" collapsed="false"/>
    <row r="13" customFormat="false" ht="21.75" hidden="false" customHeight="true" outlineLevel="0" collapsed="false">
      <c r="A13" s="4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true" outlineLevel="0" collapsed="false">
      <c r="A14" s="5" t="s">
        <v>17</v>
      </c>
      <c r="B14" s="5"/>
      <c r="C14" s="5"/>
      <c r="D14" s="6"/>
      <c r="E14" s="6"/>
      <c r="F14" s="6"/>
      <c r="G14" s="5" t="s">
        <v>18</v>
      </c>
      <c r="H14" s="5"/>
      <c r="I14" s="5"/>
      <c r="J14" s="6"/>
      <c r="K14" s="6"/>
      <c r="L14" s="6"/>
    </row>
    <row r="15" customFormat="false" ht="15" hidden="false" customHeight="true" outlineLevel="0" collapsed="false">
      <c r="A15" s="5" t="s">
        <v>19</v>
      </c>
      <c r="B15" s="5"/>
      <c r="C15" s="5"/>
      <c r="D15" s="7"/>
      <c r="E15" s="7"/>
      <c r="F15" s="7"/>
      <c r="G15" s="5" t="s">
        <v>20</v>
      </c>
      <c r="H15" s="5"/>
      <c r="I15" s="5"/>
      <c r="J15" s="7"/>
      <c r="K15" s="7"/>
      <c r="L15" s="7"/>
    </row>
    <row r="16" customFormat="false" ht="15" hidden="false" customHeight="true" outlineLevel="0" collapsed="false">
      <c r="A16" s="5" t="s">
        <v>21</v>
      </c>
      <c r="B16" s="5"/>
      <c r="C16" s="5"/>
      <c r="D16" s="6"/>
      <c r="E16" s="6"/>
      <c r="F16" s="6"/>
      <c r="G16" s="5" t="s">
        <v>22</v>
      </c>
      <c r="H16" s="5"/>
      <c r="I16" s="5"/>
      <c r="J16" s="6"/>
      <c r="K16" s="6"/>
      <c r="L16" s="6"/>
    </row>
    <row r="17" customFormat="false" ht="15" hidden="false" customHeight="true" outlineLevel="0" collapsed="false">
      <c r="A17" s="5" t="s">
        <v>23</v>
      </c>
      <c r="B17" s="5"/>
      <c r="C17" s="5"/>
      <c r="D17" s="7"/>
      <c r="E17" s="7"/>
      <c r="F17" s="7"/>
      <c r="G17" s="5" t="s">
        <v>24</v>
      </c>
      <c r="H17" s="5"/>
      <c r="I17" s="5"/>
      <c r="J17" s="7"/>
      <c r="K17" s="7"/>
      <c r="L17" s="7"/>
    </row>
    <row r="18" customFormat="false" ht="15" hidden="false" customHeight="true" outlineLevel="0" collapsed="false">
      <c r="A18" s="5" t="s">
        <v>25</v>
      </c>
      <c r="B18" s="5"/>
      <c r="C18" s="5"/>
      <c r="D18" s="6"/>
      <c r="E18" s="6"/>
      <c r="F18" s="6"/>
      <c r="G18" s="5" t="s">
        <v>26</v>
      </c>
      <c r="H18" s="5"/>
      <c r="I18" s="5"/>
      <c r="J18" s="6"/>
      <c r="K18" s="6"/>
      <c r="L18" s="6"/>
    </row>
    <row r="19" customFormat="false" ht="15" hidden="false" customHeight="true" outlineLevel="0" collapsed="false">
      <c r="A19" s="5" t="s">
        <v>27</v>
      </c>
      <c r="B19" s="5"/>
      <c r="C19" s="5"/>
      <c r="D19" s="7"/>
      <c r="E19" s="7"/>
      <c r="F19" s="7"/>
      <c r="G19" s="5" t="s">
        <v>28</v>
      </c>
      <c r="H19" s="5"/>
      <c r="I19" s="5"/>
      <c r="J19" s="7"/>
      <c r="K19" s="7"/>
      <c r="L19" s="7"/>
    </row>
    <row r="20" customFormat="false" ht="4.5" hidden="false" customHeight="true" outlineLevel="0" collapsed="false"/>
    <row r="21" customFormat="false" ht="21.75" hidden="false" customHeight="true" outlineLevel="0" collapsed="false">
      <c r="A21" s="4" t="s">
        <v>29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5" hidden="false" customHeight="true" outlineLevel="0" collapsed="false">
      <c r="A22" s="5" t="s">
        <v>30</v>
      </c>
      <c r="B22" s="5"/>
      <c r="C22" s="5"/>
      <c r="D22" s="6"/>
      <c r="E22" s="6"/>
      <c r="F22" s="6"/>
      <c r="G22" s="5" t="s">
        <v>31</v>
      </c>
      <c r="H22" s="5"/>
      <c r="I22" s="5"/>
      <c r="J22" s="6"/>
      <c r="K22" s="6"/>
      <c r="L22" s="6"/>
    </row>
    <row r="23" customFormat="false" ht="15" hidden="false" customHeight="true" outlineLevel="0" collapsed="false">
      <c r="A23" s="5" t="s">
        <v>32</v>
      </c>
      <c r="B23" s="5"/>
      <c r="C23" s="5"/>
      <c r="D23" s="7"/>
      <c r="E23" s="7"/>
      <c r="F23" s="7"/>
      <c r="G23" s="5" t="s">
        <v>33</v>
      </c>
      <c r="H23" s="5"/>
      <c r="I23" s="5"/>
      <c r="J23" s="7"/>
      <c r="K23" s="7"/>
      <c r="L23" s="7"/>
    </row>
    <row r="24" customFormat="false" ht="15" hidden="false" customHeight="true" outlineLevel="0" collapsed="false">
      <c r="A24" s="5" t="s">
        <v>34</v>
      </c>
      <c r="B24" s="5"/>
      <c r="C24" s="5"/>
      <c r="D24" s="6"/>
      <c r="E24" s="6"/>
      <c r="F24" s="6"/>
      <c r="G24" s="5" t="s">
        <v>35</v>
      </c>
      <c r="H24" s="5"/>
      <c r="I24" s="5"/>
      <c r="J24" s="6"/>
      <c r="K24" s="6"/>
      <c r="L24" s="6"/>
    </row>
    <row r="25" customFormat="false" ht="15" hidden="false" customHeight="true" outlineLevel="0" collapsed="false">
      <c r="A25" s="5" t="s">
        <v>36</v>
      </c>
      <c r="B25" s="5"/>
      <c r="C25" s="5"/>
      <c r="D25" s="7"/>
      <c r="E25" s="7"/>
      <c r="F25" s="7"/>
      <c r="G25" s="5" t="s">
        <v>37</v>
      </c>
      <c r="H25" s="5"/>
      <c r="I25" s="5"/>
      <c r="J25" s="7"/>
      <c r="K25" s="7"/>
      <c r="L25" s="7"/>
    </row>
    <row r="26" customFormat="false" ht="15" hidden="false" customHeight="true" outlineLevel="0" collapsed="false">
      <c r="A26" s="5" t="s">
        <v>38</v>
      </c>
      <c r="B26" s="5"/>
      <c r="C26" s="5"/>
      <c r="D26" s="6"/>
      <c r="E26" s="6"/>
      <c r="F26" s="6"/>
      <c r="G26" s="5" t="s">
        <v>39</v>
      </c>
      <c r="H26" s="5"/>
      <c r="I26" s="5"/>
      <c r="J26" s="6"/>
      <c r="K26" s="6"/>
      <c r="L26" s="6"/>
    </row>
    <row r="27" customFormat="false" ht="4.5" hidden="false" customHeight="true" outlineLevel="0" collapsed="false"/>
    <row r="28" customFormat="false" ht="21.75" hidden="false" customHeight="true" outlineLevel="0" collapsed="false">
      <c r="A28" s="4" t="s">
        <v>40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5" hidden="false" customHeight="true" outlineLevel="0" collapsed="false">
      <c r="A29" s="5" t="s">
        <v>41</v>
      </c>
      <c r="B29" s="5"/>
      <c r="C29" s="5"/>
      <c r="D29" s="6"/>
      <c r="E29" s="6"/>
      <c r="F29" s="6"/>
      <c r="G29" s="5" t="s">
        <v>42</v>
      </c>
      <c r="H29" s="5"/>
      <c r="I29" s="5"/>
      <c r="J29" s="6"/>
      <c r="K29" s="6"/>
      <c r="L29" s="6"/>
    </row>
    <row r="30" customFormat="false" ht="15" hidden="false" customHeight="true" outlineLevel="0" collapsed="false">
      <c r="A30" s="5" t="s">
        <v>43</v>
      </c>
      <c r="B30" s="5"/>
      <c r="C30" s="5"/>
      <c r="D30" s="7"/>
      <c r="E30" s="7"/>
      <c r="F30" s="7"/>
      <c r="G30" s="5" t="s">
        <v>44</v>
      </c>
      <c r="H30" s="5"/>
      <c r="I30" s="5"/>
      <c r="J30" s="7"/>
      <c r="K30" s="7"/>
      <c r="L30" s="7"/>
    </row>
    <row r="31" customFormat="false" ht="15" hidden="false" customHeight="true" outlineLevel="0" collapsed="false">
      <c r="A31" s="5" t="s">
        <v>45</v>
      </c>
      <c r="B31" s="5"/>
      <c r="C31" s="5"/>
      <c r="D31" s="6"/>
      <c r="E31" s="6"/>
      <c r="F31" s="6"/>
      <c r="G31" s="5" t="s">
        <v>46</v>
      </c>
      <c r="H31" s="5"/>
      <c r="I31" s="5"/>
      <c r="J31" s="6"/>
      <c r="K31" s="6"/>
      <c r="L31" s="6"/>
    </row>
    <row r="32" customFormat="false" ht="15" hidden="false" customHeight="true" outlineLevel="0" collapsed="false">
      <c r="A32" s="5" t="s">
        <v>47</v>
      </c>
      <c r="B32" s="5"/>
      <c r="C32" s="5"/>
      <c r="D32" s="7"/>
      <c r="E32" s="7"/>
      <c r="F32" s="7"/>
      <c r="G32" s="5" t="s">
        <v>44</v>
      </c>
      <c r="H32" s="5"/>
      <c r="I32" s="5"/>
      <c r="J32" s="7"/>
      <c r="K32" s="7"/>
      <c r="L32" s="7"/>
    </row>
    <row r="33" customFormat="false" ht="4.5" hidden="false" customHeight="true" outlineLevel="0" collapsed="false"/>
    <row r="34" customFormat="false" ht="18" hidden="false" customHeight="true" outlineLevel="0" collapsed="false">
      <c r="A34" s="8" t="s">
        <v>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</sheetData>
  <mergeCells count="92">
    <mergeCell ref="A1:E1"/>
    <mergeCell ref="F1:L1"/>
    <mergeCell ref="A3:L3"/>
    <mergeCell ref="A5:L5"/>
    <mergeCell ref="A6:C6"/>
    <mergeCell ref="D6:F6"/>
    <mergeCell ref="G6:I6"/>
    <mergeCell ref="J6:L6"/>
    <mergeCell ref="A7:C7"/>
    <mergeCell ref="D7:F7"/>
    <mergeCell ref="G7:I7"/>
    <mergeCell ref="J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F14"/>
    <mergeCell ref="G14:I14"/>
    <mergeCell ref="J14:L14"/>
    <mergeCell ref="A15:C15"/>
    <mergeCell ref="D15:F15"/>
    <mergeCell ref="G15:I15"/>
    <mergeCell ref="J15:L15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19:C19"/>
    <mergeCell ref="D19:F19"/>
    <mergeCell ref="G19:I19"/>
    <mergeCell ref="J19:L19"/>
    <mergeCell ref="A21:L21"/>
    <mergeCell ref="A22:C22"/>
    <mergeCell ref="D22:F22"/>
    <mergeCell ref="G22:I22"/>
    <mergeCell ref="J22:L22"/>
    <mergeCell ref="A23:C23"/>
    <mergeCell ref="D23:F23"/>
    <mergeCell ref="G23:I23"/>
    <mergeCell ref="J23:L23"/>
    <mergeCell ref="A24:C24"/>
    <mergeCell ref="D24:F24"/>
    <mergeCell ref="G24:I24"/>
    <mergeCell ref="J24:L24"/>
    <mergeCell ref="A25:C25"/>
    <mergeCell ref="D25:F25"/>
    <mergeCell ref="G25:I25"/>
    <mergeCell ref="J25:L25"/>
    <mergeCell ref="A26:C26"/>
    <mergeCell ref="D26:F26"/>
    <mergeCell ref="G26:I26"/>
    <mergeCell ref="J26:L26"/>
    <mergeCell ref="A28:L28"/>
    <mergeCell ref="A29:C29"/>
    <mergeCell ref="D29:F29"/>
    <mergeCell ref="G29:I29"/>
    <mergeCell ref="J29:L29"/>
    <mergeCell ref="A30:C30"/>
    <mergeCell ref="D30:F30"/>
    <mergeCell ref="G30:I30"/>
    <mergeCell ref="J30:L30"/>
    <mergeCell ref="A31:C31"/>
    <mergeCell ref="D31:F31"/>
    <mergeCell ref="G31:I31"/>
    <mergeCell ref="J31:L31"/>
    <mergeCell ref="A32:C32"/>
    <mergeCell ref="D32:F32"/>
    <mergeCell ref="G32:I32"/>
    <mergeCell ref="J32:L32"/>
    <mergeCell ref="A34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</row>
    <row r="2" customFormat="false" ht="21.75" hidden="false" customHeight="true" outlineLevel="0" collapsed="false">
      <c r="A2" s="4" t="s">
        <v>49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false" ht="18" hidden="false" customHeight="true" outlineLevel="0" collapsed="false">
      <c r="A3" s="9" t="s">
        <v>50</v>
      </c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  <c r="G3" s="9" t="s">
        <v>56</v>
      </c>
      <c r="H3" s="9" t="s">
        <v>57</v>
      </c>
      <c r="I3" s="9" t="s">
        <v>58</v>
      </c>
      <c r="J3" s="9" t="s">
        <v>59</v>
      </c>
      <c r="K3" s="9" t="s">
        <v>60</v>
      </c>
      <c r="L3" s="9" t="s">
        <v>61</v>
      </c>
      <c r="M3" s="9" t="s">
        <v>62</v>
      </c>
    </row>
    <row r="4" customFormat="false" ht="15" hidden="false" customHeight="true" outlineLevel="0" collapsed="false">
      <c r="A4" s="10" t="n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customFormat="false" ht="15" hidden="false" customHeight="true" outlineLevel="0" collapsed="false">
      <c r="A5" s="12" t="n">
        <v>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customFormat="false" ht="15" hidden="false" customHeight="true" outlineLevel="0" collapsed="false">
      <c r="A6" s="10" t="n">
        <v>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customFormat="false" ht="15" hidden="false" customHeight="true" outlineLevel="0" collapsed="false">
      <c r="A7" s="12" t="n">
        <v>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customFormat="false" ht="15" hidden="false" customHeight="true" outlineLevel="0" collapsed="false">
      <c r="A8" s="10" t="n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customFormat="false" ht="15" hidden="false" customHeight="true" outlineLevel="0" collapsed="false">
      <c r="A9" s="12" t="n">
        <v>6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customFormat="false" ht="15" hidden="false" customHeight="true" outlineLevel="0" collapsed="false">
      <c r="A10" s="10" t="n">
        <v>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customFormat="false" ht="15" hidden="false" customHeight="true" outlineLevel="0" collapsed="false">
      <c r="A11" s="12" t="n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customFormat="false" ht="15" hidden="false" customHeight="true" outlineLevel="0" collapsed="false">
      <c r="A12" s="10" t="n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customFormat="false" ht="15" hidden="false" customHeight="true" outlineLevel="0" collapsed="false">
      <c r="A13" s="12" t="n">
        <v>10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customFormat="false" ht="15" hidden="false" customHeight="true" outlineLevel="0" collapsed="false">
      <c r="A14" s="10" t="n">
        <v>11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customFormat="false" ht="15" hidden="false" customHeight="true" outlineLevel="0" collapsed="false">
      <c r="A15" s="12" t="n">
        <v>12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customFormat="false" ht="15" hidden="false" customHeight="true" outlineLevel="0" collapsed="false">
      <c r="A16" s="10" t="n">
        <v>13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customFormat="false" ht="15" hidden="false" customHeight="true" outlineLevel="0" collapsed="false">
      <c r="A17" s="12" t="n">
        <v>14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customFormat="false" ht="15" hidden="false" customHeight="true" outlineLevel="0" collapsed="false">
      <c r="A18" s="10" t="n">
        <v>15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customFormat="false" ht="15" hidden="false" customHeight="true" outlineLevel="0" collapsed="false">
      <c r="A19" s="12" t="n">
        <v>16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customFormat="false" ht="15" hidden="false" customHeight="true" outlineLevel="0" collapsed="false">
      <c r="A20" s="10" t="n">
        <v>17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customFormat="false" ht="15" hidden="false" customHeight="true" outlineLevel="0" collapsed="false">
      <c r="A21" s="12" t="n">
        <v>18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customFormat="false" ht="15" hidden="false" customHeight="true" outlineLevel="0" collapsed="false">
      <c r="A22" s="10" t="n">
        <v>19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customFormat="false" ht="15" hidden="false" customHeight="true" outlineLevel="0" collapsed="false">
      <c r="A23" s="12" t="n">
        <v>20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customFormat="false" ht="15" hidden="false" customHeight="true" outlineLevel="0" collapsed="false">
      <c r="A24" s="10" t="n">
        <v>21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customFormat="false" ht="15" hidden="false" customHeight="true" outlineLevel="0" collapsed="false">
      <c r="A25" s="12" t="n">
        <v>22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customFormat="false" ht="15" hidden="false" customHeight="true" outlineLevel="0" collapsed="false">
      <c r="A26" s="10" t="n">
        <v>23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customFormat="false" ht="15" hidden="false" customHeight="true" outlineLevel="0" collapsed="false">
      <c r="A27" s="12" t="n">
        <v>24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 customFormat="false" ht="15" hidden="false" customHeight="true" outlineLevel="0" collapsed="false">
      <c r="A28" s="10" t="n">
        <v>25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customFormat="false" ht="15" hidden="false" customHeight="true" outlineLevel="0" collapsed="false">
      <c r="A29" s="12" t="n">
        <v>26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customFormat="false" ht="15" hidden="false" customHeight="true" outlineLevel="0" collapsed="false">
      <c r="A30" s="10" t="n">
        <v>27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customFormat="false" ht="15" hidden="false" customHeight="true" outlineLevel="0" collapsed="false">
      <c r="A31" s="12" t="n">
        <v>28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Format="false" ht="15" hidden="false" customHeight="true" outlineLevel="0" collapsed="false">
      <c r="A32" s="10" t="n">
        <v>29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customFormat="false" ht="15" hidden="false" customHeight="true" outlineLevel="0" collapsed="false">
      <c r="A33" s="12" t="n">
        <v>30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</row>
    <row r="34" customFormat="false" ht="16.5" hidden="false" customHeight="true" outlineLevel="0" collapsed="false">
      <c r="A34" s="14" t="s">
        <v>63</v>
      </c>
      <c r="B34" s="14"/>
      <c r="C34" s="14"/>
      <c r="D34" s="14"/>
      <c r="E34" s="14"/>
      <c r="F34" s="14"/>
      <c r="G34" s="14"/>
      <c r="H34" s="15" t="n">
        <f aca="false">SUM(H4:H33)</f>
        <v>0</v>
      </c>
      <c r="I34" s="16"/>
      <c r="J34" s="16"/>
      <c r="K34" s="16"/>
      <c r="L34" s="16"/>
      <c r="M34" s="16"/>
    </row>
    <row r="35" customFormat="false" ht="4.5" hidden="false" customHeight="true" outlineLevel="0" collapsed="false"/>
    <row r="36" customFormat="false" ht="21.75" hidden="false" customHeight="true" outlineLevel="0" collapsed="false">
      <c r="A36" s="4" t="s">
        <v>64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customFormat="false" ht="15.75" hidden="false" customHeight="true" outlineLevel="0" collapsed="false">
      <c r="A37" s="5" t="s">
        <v>65</v>
      </c>
      <c r="B37" s="5"/>
      <c r="C37" s="5"/>
      <c r="D37" s="5"/>
      <c r="E37" s="5"/>
      <c r="F37" s="5"/>
      <c r="G37" s="5"/>
      <c r="H37" s="17" t="n">
        <f aca="false">SUM(H4:H33)</f>
        <v>0</v>
      </c>
      <c r="I37" s="17"/>
      <c r="J37" s="17"/>
      <c r="K37" s="17"/>
      <c r="L37" s="17"/>
      <c r="M37" s="17"/>
    </row>
    <row r="38" customFormat="false" ht="15.75" hidden="false" customHeight="true" outlineLevel="0" collapsed="false">
      <c r="A38" s="5" t="s">
        <v>66</v>
      </c>
      <c r="B38" s="5"/>
      <c r="C38" s="5"/>
      <c r="D38" s="5"/>
      <c r="E38" s="5"/>
      <c r="F38" s="5"/>
      <c r="G38" s="5"/>
      <c r="H38" s="17" t="n">
        <f aca="false">COUNTA(B4:B33)</f>
        <v>0</v>
      </c>
      <c r="I38" s="17"/>
      <c r="J38" s="17"/>
      <c r="K38" s="17"/>
      <c r="L38" s="17"/>
      <c r="M38" s="17"/>
    </row>
    <row r="39" customFormat="false" ht="15.75" hidden="false" customHeight="true" outlineLevel="0" collapsed="false">
      <c r="A39" s="5" t="s">
        <v>67</v>
      </c>
      <c r="B39" s="5"/>
      <c r="C39" s="5"/>
      <c r="D39" s="5"/>
      <c r="E39" s="5"/>
      <c r="F39" s="5"/>
      <c r="G39" s="5"/>
      <c r="H39" s="17" t="n">
        <f aca="false">COUNTA(C4:C33)</f>
        <v>0</v>
      </c>
      <c r="I39" s="17"/>
      <c r="J39" s="17"/>
      <c r="K39" s="17"/>
      <c r="L39" s="17"/>
      <c r="M39" s="17"/>
    </row>
    <row r="40" customFormat="false" ht="15.75" hidden="false" customHeight="true" outlineLevel="0" collapsed="false">
      <c r="A40" s="5" t="s">
        <v>68</v>
      </c>
      <c r="B40" s="5"/>
      <c r="C40" s="5"/>
      <c r="D40" s="5"/>
      <c r="E40" s="5"/>
      <c r="F40" s="5"/>
      <c r="G40" s="5"/>
      <c r="H40" s="17" t="n">
        <f aca="false">COUNTA(M4:M33)</f>
        <v>0</v>
      </c>
      <c r="I40" s="17"/>
      <c r="J40" s="17"/>
      <c r="K40" s="17"/>
      <c r="L40" s="17"/>
      <c r="M40" s="17"/>
    </row>
    <row r="41" customFormat="false" ht="4.5" hidden="false" customHeight="true" outlineLevel="0" collapsed="false"/>
    <row r="42" customFormat="false" ht="18" hidden="false" customHeight="true" outlineLevel="0" collapsed="false">
      <c r="A42" s="8" t="s">
        <v>48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</sheetData>
  <mergeCells count="14">
    <mergeCell ref="A1:F1"/>
    <mergeCell ref="G1:M1"/>
    <mergeCell ref="A2:M2"/>
    <mergeCell ref="A34:G34"/>
    <mergeCell ref="A36:M36"/>
    <mergeCell ref="A37:G37"/>
    <mergeCell ref="H37:M37"/>
    <mergeCell ref="A38:G38"/>
    <mergeCell ref="H38:M38"/>
    <mergeCell ref="A39:G39"/>
    <mergeCell ref="H39:M39"/>
    <mergeCell ref="A40:G40"/>
    <mergeCell ref="H40:M40"/>
    <mergeCell ref="A42:M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4" t="s">
        <v>69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8" hidden="false" customHeight="true" outlineLevel="0" collapsed="false">
      <c r="A3" s="9" t="s">
        <v>56</v>
      </c>
      <c r="B3" s="9" t="s">
        <v>70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</row>
    <row r="4" customFormat="false" ht="15" hidden="false" customHeight="tru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</row>
    <row r="5" customFormat="false" ht="15" hidden="false" customHeight="tru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</row>
    <row r="6" customFormat="false" ht="15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</row>
    <row r="7" customFormat="false" ht="15" hidden="false" customHeight="tru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</row>
    <row r="8" customFormat="false" ht="15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</row>
    <row r="9" customFormat="false" ht="1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customFormat="false" ht="1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1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customFormat="false" ht="4.5" hidden="false" customHeight="true" outlineLevel="0" collapsed="false"/>
    <row r="25" customFormat="false" ht="18" hidden="false" customHeight="true" outlineLevel="0" collapsed="false">
      <c r="A25" s="8" t="s">
        <v>48</v>
      </c>
      <c r="B25" s="8"/>
      <c r="C25" s="8"/>
      <c r="D25" s="8"/>
      <c r="E25" s="8"/>
      <c r="F25" s="8"/>
      <c r="G25" s="8"/>
      <c r="H25" s="8"/>
      <c r="I25" s="8"/>
      <c r="J25" s="8"/>
    </row>
  </sheetData>
  <mergeCells count="4">
    <mergeCell ref="A1:E1"/>
    <mergeCell ref="F1:J1"/>
    <mergeCell ref="A2:J2"/>
    <mergeCell ref="A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4" t="s">
        <v>79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8" hidden="false" customHeight="true" outlineLevel="0" collapsed="false">
      <c r="A3" s="9" t="s">
        <v>80</v>
      </c>
      <c r="B3" s="9" t="s">
        <v>52</v>
      </c>
      <c r="C3" s="9" t="s">
        <v>81</v>
      </c>
      <c r="D3" s="9" t="s">
        <v>82</v>
      </c>
      <c r="E3" s="9" t="s">
        <v>83</v>
      </c>
      <c r="F3" s="9" t="s">
        <v>84</v>
      </c>
      <c r="G3" s="9" t="s">
        <v>85</v>
      </c>
      <c r="H3" s="9" t="s">
        <v>86</v>
      </c>
      <c r="I3" s="9" t="s">
        <v>87</v>
      </c>
      <c r="J3" s="9" t="s">
        <v>61</v>
      </c>
    </row>
    <row r="4" customFormat="false" ht="15" hidden="false" customHeight="true" outlineLevel="0" collapsed="false">
      <c r="A4" s="11"/>
      <c r="B4" s="11"/>
      <c r="C4" s="11"/>
      <c r="D4" s="11"/>
      <c r="E4" s="11"/>
      <c r="F4" s="11"/>
      <c r="G4" s="11"/>
      <c r="H4" s="11" t="str">
        <f aca="false">IF(AND(C4&lt;&gt;"",G4&lt;&gt;""),C4/G4*100,"")</f>
        <v/>
      </c>
      <c r="I4" s="18" t="str">
        <f aca="false">IF(H4="","",IF(H4&gt;=100,"✗ CHANGE NOW",IF(H4&gt;=80,"⚠ MONITOR","✓ OK")))</f>
        <v/>
      </c>
      <c r="J4" s="11"/>
    </row>
    <row r="5" customFormat="false" ht="15" hidden="false" customHeight="true" outlineLevel="0" collapsed="false">
      <c r="A5" s="13"/>
      <c r="B5" s="13"/>
      <c r="C5" s="13"/>
      <c r="D5" s="13"/>
      <c r="E5" s="13"/>
      <c r="F5" s="13"/>
      <c r="G5" s="13"/>
      <c r="H5" s="13" t="str">
        <f aca="false">IF(AND(C5&lt;&gt;"",G5&lt;&gt;""),C5/G5*100,"")</f>
        <v/>
      </c>
      <c r="I5" s="19" t="str">
        <f aca="false">IF(H5="","",IF(H5&gt;=100,"✗ CHANGE NOW",IF(H5&gt;=80,"⚠ MONITOR","✓ OK")))</f>
        <v/>
      </c>
      <c r="J5" s="13"/>
    </row>
    <row r="6" customFormat="false" ht="15" hidden="false" customHeight="true" outlineLevel="0" collapsed="false">
      <c r="A6" s="11"/>
      <c r="B6" s="11"/>
      <c r="C6" s="11"/>
      <c r="D6" s="11"/>
      <c r="E6" s="11"/>
      <c r="F6" s="11"/>
      <c r="G6" s="11"/>
      <c r="H6" s="11" t="str">
        <f aca="false">IF(AND(C6&lt;&gt;"",G6&lt;&gt;""),C6/G6*100,"")</f>
        <v/>
      </c>
      <c r="I6" s="18" t="str">
        <f aca="false">IF(H6="","",IF(H6&gt;=100,"✗ CHANGE NOW",IF(H6&gt;=80,"⚠ MONITOR","✓ OK")))</f>
        <v/>
      </c>
      <c r="J6" s="11"/>
    </row>
    <row r="7" customFormat="false" ht="15" hidden="false" customHeight="true" outlineLevel="0" collapsed="false">
      <c r="A7" s="13"/>
      <c r="B7" s="13"/>
      <c r="C7" s="13"/>
      <c r="D7" s="13"/>
      <c r="E7" s="13"/>
      <c r="F7" s="13"/>
      <c r="G7" s="13"/>
      <c r="H7" s="13" t="str">
        <f aca="false">IF(AND(C7&lt;&gt;"",G7&lt;&gt;""),C7/G7*100,"")</f>
        <v/>
      </c>
      <c r="I7" s="19" t="str">
        <f aca="false">IF(H7="","",IF(H7&gt;=100,"✗ CHANGE NOW",IF(H7&gt;=80,"⚠ MONITOR","✓ OK")))</f>
        <v/>
      </c>
      <c r="J7" s="13"/>
    </row>
    <row r="8" customFormat="false" ht="15" hidden="false" customHeight="true" outlineLevel="0" collapsed="false">
      <c r="A8" s="11"/>
      <c r="B8" s="11"/>
      <c r="C8" s="11"/>
      <c r="D8" s="11"/>
      <c r="E8" s="11"/>
      <c r="F8" s="11"/>
      <c r="G8" s="11"/>
      <c r="H8" s="11" t="str">
        <f aca="false">IF(AND(C8&lt;&gt;"",G8&lt;&gt;""),C8/G8*100,"")</f>
        <v/>
      </c>
      <c r="I8" s="18" t="str">
        <f aca="false">IF(H8="","",IF(H8&gt;=100,"✗ CHANGE NOW",IF(H8&gt;=80,"⚠ MONITOR","✓ OK")))</f>
        <v/>
      </c>
      <c r="J8" s="11"/>
    </row>
    <row r="9" customFormat="false" ht="15" hidden="false" customHeight="true" outlineLevel="0" collapsed="false">
      <c r="A9" s="13"/>
      <c r="B9" s="13"/>
      <c r="C9" s="13"/>
      <c r="D9" s="13"/>
      <c r="E9" s="13"/>
      <c r="F9" s="13"/>
      <c r="G9" s="13"/>
      <c r="H9" s="13" t="str">
        <f aca="false">IF(AND(C9&lt;&gt;"",G9&lt;&gt;""),C9/G9*100,"")</f>
        <v/>
      </c>
      <c r="I9" s="19" t="str">
        <f aca="false">IF(H9="","",IF(H9&gt;=100,"✗ CHANGE NOW",IF(H9&gt;=80,"⚠ MONITOR","✓ OK")))</f>
        <v/>
      </c>
      <c r="J9" s="13"/>
    </row>
    <row r="10" customFormat="false" ht="15" hidden="false" customHeight="true" outlineLevel="0" collapsed="false">
      <c r="A10" s="11"/>
      <c r="B10" s="11"/>
      <c r="C10" s="11"/>
      <c r="D10" s="11"/>
      <c r="E10" s="11"/>
      <c r="F10" s="11"/>
      <c r="G10" s="11"/>
      <c r="H10" s="11" t="str">
        <f aca="false">IF(AND(C10&lt;&gt;"",G10&lt;&gt;""),C10/G10*100,"")</f>
        <v/>
      </c>
      <c r="I10" s="18" t="str">
        <f aca="false">IF(H10="","",IF(H10&gt;=100,"✗ CHANGE NOW",IF(H10&gt;=80,"⚠ MONITOR","✓ OK")))</f>
        <v/>
      </c>
      <c r="J10" s="11"/>
    </row>
    <row r="11" customFormat="false" ht="15" hidden="false" customHeight="true" outlineLevel="0" collapsed="false">
      <c r="A11" s="13"/>
      <c r="B11" s="13"/>
      <c r="C11" s="13"/>
      <c r="D11" s="13"/>
      <c r="E11" s="13"/>
      <c r="F11" s="13"/>
      <c r="G11" s="13"/>
      <c r="H11" s="13" t="str">
        <f aca="false">IF(AND(C11&lt;&gt;"",G11&lt;&gt;""),C11/G11*100,"")</f>
        <v/>
      </c>
      <c r="I11" s="19" t="str">
        <f aca="false">IF(H11="","",IF(H11&gt;=100,"✗ CHANGE NOW",IF(H11&gt;=80,"⚠ MONITOR","✓ OK")))</f>
        <v/>
      </c>
      <c r="J11" s="13"/>
    </row>
    <row r="12" customFormat="false" ht="15" hidden="false" customHeight="true" outlineLevel="0" collapsed="false">
      <c r="A12" s="11"/>
      <c r="B12" s="11"/>
      <c r="C12" s="11"/>
      <c r="D12" s="11"/>
      <c r="E12" s="11"/>
      <c r="F12" s="11"/>
      <c r="G12" s="11"/>
      <c r="H12" s="11" t="str">
        <f aca="false">IF(AND(C12&lt;&gt;"",G12&lt;&gt;""),C12/G12*100,"")</f>
        <v/>
      </c>
      <c r="I12" s="18" t="str">
        <f aca="false">IF(H12="","",IF(H12&gt;=100,"✗ CHANGE NOW",IF(H12&gt;=80,"⚠ MONITOR","✓ OK")))</f>
        <v/>
      </c>
      <c r="J12" s="11"/>
    </row>
    <row r="13" customFormat="false" ht="15" hidden="false" customHeight="true" outlineLevel="0" collapsed="false">
      <c r="A13" s="13"/>
      <c r="B13" s="13"/>
      <c r="C13" s="13"/>
      <c r="D13" s="13"/>
      <c r="E13" s="13"/>
      <c r="F13" s="13"/>
      <c r="G13" s="13"/>
      <c r="H13" s="13" t="str">
        <f aca="false">IF(AND(C13&lt;&gt;"",G13&lt;&gt;""),C13/G13*100,"")</f>
        <v/>
      </c>
      <c r="I13" s="19" t="str">
        <f aca="false">IF(H13="","",IF(H13&gt;=100,"✗ CHANGE NOW",IF(H13&gt;=80,"⚠ MONITOR","✓ OK")))</f>
        <v/>
      </c>
      <c r="J13" s="13"/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 t="str">
        <f aca="false">IF(AND(C14&lt;&gt;"",G14&lt;&gt;""),C14/G14*100,"")</f>
        <v/>
      </c>
      <c r="I14" s="18" t="str">
        <f aca="false">IF(H14="","",IF(H14&gt;=100,"✗ CHANGE NOW",IF(H14&gt;=80,"⚠ MONITOR","✓ OK")))</f>
        <v/>
      </c>
      <c r="J14" s="11"/>
    </row>
    <row r="15" customFormat="false" ht="15" hidden="false" customHeight="true" outlineLevel="0" collapsed="false">
      <c r="A15" s="13"/>
      <c r="B15" s="13"/>
      <c r="C15" s="13"/>
      <c r="D15" s="13"/>
      <c r="E15" s="13"/>
      <c r="F15" s="13"/>
      <c r="G15" s="13"/>
      <c r="H15" s="13" t="str">
        <f aca="false">IF(AND(C15&lt;&gt;"",G15&lt;&gt;""),C15/G15*100,"")</f>
        <v/>
      </c>
      <c r="I15" s="19" t="str">
        <f aca="false">IF(H15="","",IF(H15&gt;=100,"✗ CHANGE NOW",IF(H15&gt;=80,"⚠ MONITOR","✓ OK")))</f>
        <v/>
      </c>
      <c r="J15" s="13"/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 t="str">
        <f aca="false">IF(AND(C16&lt;&gt;"",G16&lt;&gt;""),C16/G16*100,"")</f>
        <v/>
      </c>
      <c r="I16" s="18" t="str">
        <f aca="false">IF(H16="","",IF(H16&gt;=100,"✗ CHANGE NOW",IF(H16&gt;=80,"⚠ MONITOR","✓ OK")))</f>
        <v/>
      </c>
      <c r="J16" s="11"/>
    </row>
    <row r="17" customFormat="false" ht="15" hidden="false" customHeight="true" outlineLevel="0" collapsed="false">
      <c r="A17" s="13"/>
      <c r="B17" s="13"/>
      <c r="C17" s="13"/>
      <c r="D17" s="13"/>
      <c r="E17" s="13"/>
      <c r="F17" s="13"/>
      <c r="G17" s="13"/>
      <c r="H17" s="13" t="str">
        <f aca="false">IF(AND(C17&lt;&gt;"",G17&lt;&gt;""),C17/G17*100,"")</f>
        <v/>
      </c>
      <c r="I17" s="19" t="str">
        <f aca="false">IF(H17="","",IF(H17&gt;=100,"✗ CHANGE NOW",IF(H17&gt;=80,"⚠ MONITOR","✓ OK")))</f>
        <v/>
      </c>
      <c r="J17" s="13"/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 t="str">
        <f aca="false">IF(AND(C18&lt;&gt;"",G18&lt;&gt;""),C18/G18*100,"")</f>
        <v/>
      </c>
      <c r="I18" s="18" t="str">
        <f aca="false">IF(H18="","",IF(H18&gt;=100,"✗ CHANGE NOW",IF(H18&gt;=80,"⚠ MONITOR","✓ OK")))</f>
        <v/>
      </c>
      <c r="J18" s="11"/>
    </row>
    <row r="19" customFormat="false" ht="15" hidden="false" customHeight="true" outlineLevel="0" collapsed="false">
      <c r="A19" s="13"/>
      <c r="B19" s="13"/>
      <c r="C19" s="13"/>
      <c r="D19" s="13"/>
      <c r="E19" s="13"/>
      <c r="F19" s="13"/>
      <c r="G19" s="13"/>
      <c r="H19" s="13" t="str">
        <f aca="false">IF(AND(C19&lt;&gt;"",G19&lt;&gt;""),C19/G19*100,"")</f>
        <v/>
      </c>
      <c r="I19" s="19" t="str">
        <f aca="false">IF(H19="","",IF(H19&gt;=100,"✗ CHANGE NOW",IF(H19&gt;=80,"⚠ MONITOR","✓ OK")))</f>
        <v/>
      </c>
      <c r="J19" s="13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 t="str">
        <f aca="false">IF(AND(C20&lt;&gt;"",G20&lt;&gt;""),C20/G20*100,"")</f>
        <v/>
      </c>
      <c r="I20" s="18" t="str">
        <f aca="false">IF(H20="","",IF(H20&gt;=100,"✗ CHANGE NOW",IF(H20&gt;=80,"⚠ MONITOR","✓ OK")))</f>
        <v/>
      </c>
      <c r="J20" s="11"/>
    </row>
    <row r="21" customFormat="false" ht="15" hidden="false" customHeight="true" outlineLevel="0" collapsed="false">
      <c r="A21" s="13"/>
      <c r="B21" s="13"/>
      <c r="C21" s="13"/>
      <c r="D21" s="13"/>
      <c r="E21" s="13"/>
      <c r="F21" s="13"/>
      <c r="G21" s="13"/>
      <c r="H21" s="13" t="str">
        <f aca="false">IF(AND(C21&lt;&gt;"",G21&lt;&gt;""),C21/G21*100,"")</f>
        <v/>
      </c>
      <c r="I21" s="19" t="str">
        <f aca="false">IF(H21="","",IF(H21&gt;=100,"✗ CHANGE NOW",IF(H21&gt;=80,"⚠ MONITOR","✓ OK")))</f>
        <v/>
      </c>
      <c r="J21" s="13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 t="str">
        <f aca="false">IF(AND(C22&lt;&gt;"",G22&lt;&gt;""),C22/G22*100,"")</f>
        <v/>
      </c>
      <c r="I22" s="18" t="str">
        <f aca="false">IF(H22="","",IF(H22&gt;=100,"✗ CHANGE NOW",IF(H22&gt;=80,"⚠ MONITOR","✓ OK")))</f>
        <v/>
      </c>
      <c r="J22" s="11"/>
    </row>
    <row r="23" customFormat="false" ht="15" hidden="false" customHeight="true" outlineLevel="0" collapsed="false">
      <c r="A23" s="13"/>
      <c r="B23" s="13"/>
      <c r="C23" s="13"/>
      <c r="D23" s="13"/>
      <c r="E23" s="13"/>
      <c r="F23" s="13"/>
      <c r="G23" s="13"/>
      <c r="H23" s="13" t="str">
        <f aca="false">IF(AND(C23&lt;&gt;"",G23&lt;&gt;""),C23/G23*100,"")</f>
        <v/>
      </c>
      <c r="I23" s="19" t="str">
        <f aca="false">IF(H23="","",IF(H23&gt;=100,"✗ CHANGE NOW",IF(H23&gt;=80,"⚠ MONITOR","✓ OK")))</f>
        <v/>
      </c>
      <c r="J23" s="13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  <c r="G24" s="11"/>
      <c r="H24" s="11" t="str">
        <f aca="false">IF(AND(C24&lt;&gt;"",G24&lt;&gt;""),C24/G24*100,"")</f>
        <v/>
      </c>
      <c r="I24" s="18" t="str">
        <f aca="false">IF(H24="","",IF(H24&gt;=100,"✗ CHANGE NOW",IF(H24&gt;=80,"⚠ MONITOR","✓ OK")))</f>
        <v/>
      </c>
      <c r="J24" s="11"/>
    </row>
    <row r="25" customFormat="false" ht="15" hidden="false" customHeight="true" outlineLevel="0" collapsed="false">
      <c r="A25" s="13"/>
      <c r="B25" s="13"/>
      <c r="C25" s="13"/>
      <c r="D25" s="13"/>
      <c r="E25" s="13"/>
      <c r="F25" s="13"/>
      <c r="G25" s="13"/>
      <c r="H25" s="13" t="str">
        <f aca="false">IF(AND(C25&lt;&gt;"",G25&lt;&gt;""),C25/G25*100,"")</f>
        <v/>
      </c>
      <c r="I25" s="19" t="str">
        <f aca="false">IF(H25="","",IF(H25&gt;=100,"✗ CHANGE NOW",IF(H25&gt;=80,"⚠ MONITOR","✓ OK")))</f>
        <v/>
      </c>
      <c r="J25" s="13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  <c r="G26" s="11"/>
      <c r="H26" s="11" t="str">
        <f aca="false">IF(AND(C26&lt;&gt;"",G26&lt;&gt;""),C26/G26*100,"")</f>
        <v/>
      </c>
      <c r="I26" s="18" t="str">
        <f aca="false">IF(H26="","",IF(H26&gt;=100,"✗ CHANGE NOW",IF(H26&gt;=80,"⚠ MONITOR","✓ OK")))</f>
        <v/>
      </c>
      <c r="J26" s="11"/>
    </row>
    <row r="27" customFormat="false" ht="15" hidden="false" customHeight="true" outlineLevel="0" collapsed="false">
      <c r="A27" s="13"/>
      <c r="B27" s="13"/>
      <c r="C27" s="13"/>
      <c r="D27" s="13"/>
      <c r="E27" s="13"/>
      <c r="F27" s="13"/>
      <c r="G27" s="13"/>
      <c r="H27" s="13" t="str">
        <f aca="false">IF(AND(C27&lt;&gt;"",G27&lt;&gt;""),C27/G27*100,"")</f>
        <v/>
      </c>
      <c r="I27" s="19" t="str">
        <f aca="false">IF(H27="","",IF(H27&gt;=100,"✗ CHANGE NOW",IF(H27&gt;=80,"⚠ MONITOR","✓ OK")))</f>
        <v/>
      </c>
      <c r="J27" s="13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  <c r="G28" s="11"/>
      <c r="H28" s="11" t="str">
        <f aca="false">IF(AND(C28&lt;&gt;"",G28&lt;&gt;""),C28/G28*100,"")</f>
        <v/>
      </c>
      <c r="I28" s="18" t="str">
        <f aca="false">IF(H28="","",IF(H28&gt;=100,"✗ CHANGE NOW",IF(H28&gt;=80,"⚠ MONITOR","✓ OK")))</f>
        <v/>
      </c>
      <c r="J28" s="11"/>
    </row>
    <row r="29" customFormat="false" ht="4.5" hidden="false" customHeight="true" outlineLevel="0" collapsed="false"/>
    <row r="30" customFormat="false" ht="18" hidden="false" customHeight="true" outlineLevel="0" collapsed="false">
      <c r="A30" s="8" t="s">
        <v>48</v>
      </c>
      <c r="B30" s="8"/>
      <c r="C30" s="8"/>
      <c r="D30" s="8"/>
      <c r="E30" s="8"/>
      <c r="F30" s="8"/>
      <c r="G30" s="8"/>
      <c r="H30" s="8"/>
      <c r="I30" s="8"/>
      <c r="J30" s="8"/>
    </row>
  </sheetData>
  <mergeCells count="4">
    <mergeCell ref="A1:E1"/>
    <mergeCell ref="F1:J1"/>
    <mergeCell ref="A2:J2"/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0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2" t="s">
        <v>1</v>
      </c>
      <c r="E1" s="2"/>
    </row>
    <row r="2" customFormat="false" ht="21.75" hidden="false" customHeight="true" outlineLevel="0" collapsed="false">
      <c r="A2" s="4" t="s">
        <v>88</v>
      </c>
      <c r="B2" s="4"/>
      <c r="C2" s="4"/>
      <c r="D2" s="4"/>
      <c r="E2" s="4"/>
    </row>
    <row r="3" customFormat="false" ht="18" hidden="false" customHeight="true" outlineLevel="0" collapsed="false">
      <c r="A3" s="9" t="s">
        <v>89</v>
      </c>
      <c r="B3" s="9" t="s">
        <v>90</v>
      </c>
      <c r="C3" s="9" t="s">
        <v>91</v>
      </c>
      <c r="D3" s="9" t="s">
        <v>92</v>
      </c>
      <c r="E3" s="9" t="s">
        <v>93</v>
      </c>
    </row>
    <row r="4" customFormat="false" ht="16.5" hidden="false" customHeight="true" outlineLevel="0" collapsed="false">
      <c r="A4" s="20" t="s">
        <v>94</v>
      </c>
      <c r="B4" s="20"/>
      <c r="C4" s="20"/>
      <c r="D4" s="20"/>
      <c r="E4" s="20"/>
    </row>
    <row r="5" customFormat="false" ht="15" hidden="false" customHeight="true" outlineLevel="0" collapsed="false">
      <c r="A5" s="21" t="s">
        <v>95</v>
      </c>
      <c r="B5" s="22" t="s">
        <v>96</v>
      </c>
      <c r="C5" s="22" t="s">
        <v>96</v>
      </c>
      <c r="D5" s="22" t="s">
        <v>96</v>
      </c>
      <c r="E5" s="23"/>
    </row>
    <row r="6" customFormat="false" ht="15" hidden="false" customHeight="true" outlineLevel="0" collapsed="false">
      <c r="A6" s="24" t="s">
        <v>97</v>
      </c>
      <c r="B6" s="22" t="s">
        <v>96</v>
      </c>
      <c r="C6" s="22" t="s">
        <v>96</v>
      </c>
      <c r="D6" s="22" t="s">
        <v>96</v>
      </c>
      <c r="E6" s="25"/>
    </row>
    <row r="7" customFormat="false" ht="15" hidden="false" customHeight="true" outlineLevel="0" collapsed="false">
      <c r="A7" s="21" t="s">
        <v>98</v>
      </c>
      <c r="B7" s="22" t="s">
        <v>96</v>
      </c>
      <c r="C7" s="22" t="s">
        <v>96</v>
      </c>
      <c r="D7" s="22" t="s">
        <v>96</v>
      </c>
      <c r="E7" s="23"/>
    </row>
    <row r="8" customFormat="false" ht="15" hidden="false" customHeight="true" outlineLevel="0" collapsed="false">
      <c r="A8" s="24" t="s">
        <v>99</v>
      </c>
      <c r="B8" s="22" t="s">
        <v>96</v>
      </c>
      <c r="C8" s="22" t="s">
        <v>96</v>
      </c>
      <c r="D8" s="22" t="s">
        <v>96</v>
      </c>
      <c r="E8" s="25"/>
    </row>
    <row r="9" customFormat="false" ht="15" hidden="false" customHeight="true" outlineLevel="0" collapsed="false">
      <c r="A9" s="21" t="s">
        <v>100</v>
      </c>
      <c r="B9" s="22" t="s">
        <v>96</v>
      </c>
      <c r="C9" s="22" t="s">
        <v>96</v>
      </c>
      <c r="D9" s="22" t="s">
        <v>96</v>
      </c>
      <c r="E9" s="23"/>
    </row>
    <row r="10" customFormat="false" ht="15" hidden="false" customHeight="true" outlineLevel="0" collapsed="false">
      <c r="A10" s="24" t="s">
        <v>101</v>
      </c>
      <c r="B10" s="22" t="s">
        <v>96</v>
      </c>
      <c r="C10" s="22" t="s">
        <v>96</v>
      </c>
      <c r="D10" s="22" t="s">
        <v>96</v>
      </c>
      <c r="E10" s="25"/>
    </row>
    <row r="11" customFormat="false" ht="15" hidden="false" customHeight="true" outlineLevel="0" collapsed="false">
      <c r="A11" s="21" t="s">
        <v>102</v>
      </c>
      <c r="B11" s="22" t="s">
        <v>96</v>
      </c>
      <c r="C11" s="22" t="s">
        <v>96</v>
      </c>
      <c r="D11" s="22" t="s">
        <v>96</v>
      </c>
      <c r="E11" s="23"/>
    </row>
    <row r="12" customFormat="false" ht="15" hidden="false" customHeight="true" outlineLevel="0" collapsed="false">
      <c r="A12" s="24" t="s">
        <v>103</v>
      </c>
      <c r="B12" s="22" t="s">
        <v>96</v>
      </c>
      <c r="C12" s="22" t="s">
        <v>96</v>
      </c>
      <c r="D12" s="22" t="s">
        <v>96</v>
      </c>
      <c r="E12" s="25"/>
    </row>
    <row r="13" customFormat="false" ht="3.75" hidden="false" customHeight="true" outlineLevel="0" collapsed="false"/>
    <row r="14" customFormat="false" ht="16.5" hidden="false" customHeight="true" outlineLevel="0" collapsed="false">
      <c r="A14" s="20" t="s">
        <v>104</v>
      </c>
      <c r="B14" s="20"/>
      <c r="C14" s="20"/>
      <c r="D14" s="20"/>
      <c r="E14" s="20"/>
    </row>
    <row r="15" customFormat="false" ht="15" hidden="false" customHeight="true" outlineLevel="0" collapsed="false">
      <c r="A15" s="21" t="s">
        <v>105</v>
      </c>
      <c r="B15" s="22" t="s">
        <v>96</v>
      </c>
      <c r="C15" s="22" t="s">
        <v>96</v>
      </c>
      <c r="D15" s="22" t="s">
        <v>96</v>
      </c>
      <c r="E15" s="23"/>
    </row>
    <row r="16" customFormat="false" ht="15" hidden="false" customHeight="true" outlineLevel="0" collapsed="false">
      <c r="A16" s="24" t="s">
        <v>106</v>
      </c>
      <c r="B16" s="22" t="s">
        <v>96</v>
      </c>
      <c r="C16" s="22" t="s">
        <v>96</v>
      </c>
      <c r="D16" s="22" t="s">
        <v>96</v>
      </c>
      <c r="E16" s="25"/>
    </row>
    <row r="17" customFormat="false" ht="15" hidden="false" customHeight="true" outlineLevel="0" collapsed="false">
      <c r="A17" s="21" t="s">
        <v>107</v>
      </c>
      <c r="B17" s="22" t="s">
        <v>96</v>
      </c>
      <c r="C17" s="22" t="s">
        <v>96</v>
      </c>
      <c r="D17" s="22" t="s">
        <v>96</v>
      </c>
      <c r="E17" s="23"/>
    </row>
    <row r="18" customFormat="false" ht="15" hidden="false" customHeight="true" outlineLevel="0" collapsed="false">
      <c r="A18" s="24" t="s">
        <v>108</v>
      </c>
      <c r="B18" s="22" t="s">
        <v>96</v>
      </c>
      <c r="C18" s="22" t="s">
        <v>96</v>
      </c>
      <c r="D18" s="22" t="s">
        <v>96</v>
      </c>
      <c r="E18" s="25"/>
    </row>
    <row r="19" customFormat="false" ht="15" hidden="false" customHeight="true" outlineLevel="0" collapsed="false">
      <c r="A19" s="21" t="s">
        <v>109</v>
      </c>
      <c r="B19" s="22" t="s">
        <v>96</v>
      </c>
      <c r="C19" s="22" t="s">
        <v>96</v>
      </c>
      <c r="D19" s="22" t="s">
        <v>96</v>
      </c>
      <c r="E19" s="23"/>
    </row>
    <row r="20" customFormat="false" ht="15" hidden="false" customHeight="true" outlineLevel="0" collapsed="false">
      <c r="A20" s="24" t="s">
        <v>110</v>
      </c>
      <c r="B20" s="22" t="s">
        <v>96</v>
      </c>
      <c r="C20" s="22" t="s">
        <v>96</v>
      </c>
      <c r="D20" s="22" t="s">
        <v>96</v>
      </c>
      <c r="E20" s="25"/>
    </row>
    <row r="21" customFormat="false" ht="15" hidden="false" customHeight="true" outlineLevel="0" collapsed="false">
      <c r="A21" s="21" t="s">
        <v>111</v>
      </c>
      <c r="B21" s="22" t="s">
        <v>96</v>
      </c>
      <c r="C21" s="22" t="s">
        <v>96</v>
      </c>
      <c r="D21" s="22" t="s">
        <v>96</v>
      </c>
      <c r="E21" s="23"/>
    </row>
    <row r="22" customFormat="false" ht="15" hidden="false" customHeight="true" outlineLevel="0" collapsed="false">
      <c r="A22" s="24" t="s">
        <v>112</v>
      </c>
      <c r="B22" s="22" t="s">
        <v>96</v>
      </c>
      <c r="C22" s="22" t="s">
        <v>96</v>
      </c>
      <c r="D22" s="22" t="s">
        <v>96</v>
      </c>
      <c r="E22" s="25"/>
    </row>
    <row r="23" customFormat="false" ht="3.75" hidden="false" customHeight="true" outlineLevel="0" collapsed="false"/>
    <row r="24" customFormat="false" ht="16.5" hidden="false" customHeight="true" outlineLevel="0" collapsed="false">
      <c r="A24" s="20" t="s">
        <v>113</v>
      </c>
      <c r="B24" s="20"/>
      <c r="C24" s="20"/>
      <c r="D24" s="20"/>
      <c r="E24" s="20"/>
    </row>
    <row r="25" customFormat="false" ht="15" hidden="false" customHeight="true" outlineLevel="0" collapsed="false">
      <c r="A25" s="21" t="s">
        <v>114</v>
      </c>
      <c r="B25" s="22" t="s">
        <v>96</v>
      </c>
      <c r="C25" s="22" t="s">
        <v>96</v>
      </c>
      <c r="D25" s="22" t="s">
        <v>96</v>
      </c>
      <c r="E25" s="23"/>
    </row>
    <row r="26" customFormat="false" ht="15" hidden="false" customHeight="true" outlineLevel="0" collapsed="false">
      <c r="A26" s="24" t="s">
        <v>115</v>
      </c>
      <c r="B26" s="22" t="s">
        <v>96</v>
      </c>
      <c r="C26" s="22" t="s">
        <v>96</v>
      </c>
      <c r="D26" s="22" t="s">
        <v>96</v>
      </c>
      <c r="E26" s="25"/>
    </row>
    <row r="27" customFormat="false" ht="15" hidden="false" customHeight="true" outlineLevel="0" collapsed="false">
      <c r="A27" s="21" t="s">
        <v>116</v>
      </c>
      <c r="B27" s="22" t="s">
        <v>96</v>
      </c>
      <c r="C27" s="22" t="s">
        <v>96</v>
      </c>
      <c r="D27" s="22" t="s">
        <v>96</v>
      </c>
      <c r="E27" s="23"/>
    </row>
    <row r="28" customFormat="false" ht="15" hidden="false" customHeight="true" outlineLevel="0" collapsed="false">
      <c r="A28" s="24" t="s">
        <v>117</v>
      </c>
      <c r="B28" s="22" t="s">
        <v>96</v>
      </c>
      <c r="C28" s="22" t="s">
        <v>96</v>
      </c>
      <c r="D28" s="22" t="s">
        <v>96</v>
      </c>
      <c r="E28" s="25"/>
    </row>
    <row r="29" customFormat="false" ht="15" hidden="false" customHeight="true" outlineLevel="0" collapsed="false">
      <c r="A29" s="21" t="s">
        <v>118</v>
      </c>
      <c r="B29" s="22" t="s">
        <v>96</v>
      </c>
      <c r="C29" s="22" t="s">
        <v>96</v>
      </c>
      <c r="D29" s="22" t="s">
        <v>96</v>
      </c>
      <c r="E29" s="23"/>
    </row>
    <row r="30" customFormat="false" ht="15" hidden="false" customHeight="true" outlineLevel="0" collapsed="false">
      <c r="A30" s="24" t="s">
        <v>119</v>
      </c>
      <c r="B30" s="22" t="s">
        <v>96</v>
      </c>
      <c r="C30" s="22" t="s">
        <v>96</v>
      </c>
      <c r="D30" s="22" t="s">
        <v>96</v>
      </c>
      <c r="E30" s="25"/>
    </row>
    <row r="31" customFormat="false" ht="15" hidden="false" customHeight="true" outlineLevel="0" collapsed="false">
      <c r="A31" s="21" t="s">
        <v>120</v>
      </c>
      <c r="B31" s="22" t="s">
        <v>96</v>
      </c>
      <c r="C31" s="22" t="s">
        <v>96</v>
      </c>
      <c r="D31" s="22" t="s">
        <v>96</v>
      </c>
      <c r="E31" s="23"/>
    </row>
    <row r="32" customFormat="false" ht="15" hidden="false" customHeight="true" outlineLevel="0" collapsed="false">
      <c r="A32" s="24" t="s">
        <v>121</v>
      </c>
      <c r="B32" s="22" t="s">
        <v>96</v>
      </c>
      <c r="C32" s="22" t="s">
        <v>96</v>
      </c>
      <c r="D32" s="22" t="s">
        <v>96</v>
      </c>
      <c r="E32" s="25"/>
    </row>
    <row r="33" customFormat="false" ht="15" hidden="false" customHeight="true" outlineLevel="0" collapsed="false">
      <c r="A33" s="21" t="s">
        <v>122</v>
      </c>
      <c r="B33" s="22" t="s">
        <v>96</v>
      </c>
      <c r="C33" s="22" t="s">
        <v>96</v>
      </c>
      <c r="D33" s="22" t="s">
        <v>96</v>
      </c>
      <c r="E33" s="23"/>
    </row>
    <row r="34" customFormat="false" ht="15" hidden="false" customHeight="true" outlineLevel="0" collapsed="false">
      <c r="A34" s="24" t="s">
        <v>123</v>
      </c>
      <c r="B34" s="22" t="s">
        <v>96</v>
      </c>
      <c r="C34" s="22" t="s">
        <v>96</v>
      </c>
      <c r="D34" s="22" t="s">
        <v>96</v>
      </c>
      <c r="E34" s="25"/>
    </row>
    <row r="35" customFormat="false" ht="3.75" hidden="false" customHeight="true" outlineLevel="0" collapsed="false"/>
    <row r="36" customFormat="false" ht="16.5" hidden="false" customHeight="true" outlineLevel="0" collapsed="false">
      <c r="A36" s="20" t="s">
        <v>124</v>
      </c>
      <c r="B36" s="20"/>
      <c r="C36" s="20"/>
      <c r="D36" s="20"/>
      <c r="E36" s="20"/>
    </row>
    <row r="37" customFormat="false" ht="15" hidden="false" customHeight="true" outlineLevel="0" collapsed="false">
      <c r="A37" s="21" t="s">
        <v>125</v>
      </c>
      <c r="B37" s="22" t="s">
        <v>96</v>
      </c>
      <c r="C37" s="22" t="s">
        <v>96</v>
      </c>
      <c r="D37" s="22" t="s">
        <v>96</v>
      </c>
      <c r="E37" s="23"/>
    </row>
    <row r="38" customFormat="false" ht="15" hidden="false" customHeight="true" outlineLevel="0" collapsed="false">
      <c r="A38" s="24" t="s">
        <v>126</v>
      </c>
      <c r="B38" s="22" t="s">
        <v>96</v>
      </c>
      <c r="C38" s="22" t="s">
        <v>96</v>
      </c>
      <c r="D38" s="22" t="s">
        <v>96</v>
      </c>
      <c r="E38" s="25"/>
    </row>
    <row r="39" customFormat="false" ht="15" hidden="false" customHeight="true" outlineLevel="0" collapsed="false">
      <c r="A39" s="21" t="s">
        <v>127</v>
      </c>
      <c r="B39" s="22" t="s">
        <v>96</v>
      </c>
      <c r="C39" s="22" t="s">
        <v>96</v>
      </c>
      <c r="D39" s="22" t="s">
        <v>96</v>
      </c>
      <c r="E39" s="23"/>
    </row>
    <row r="40" customFormat="false" ht="15" hidden="false" customHeight="true" outlineLevel="0" collapsed="false">
      <c r="A40" s="24" t="s">
        <v>128</v>
      </c>
      <c r="B40" s="22" t="s">
        <v>96</v>
      </c>
      <c r="C40" s="22" t="s">
        <v>96</v>
      </c>
      <c r="D40" s="22" t="s">
        <v>96</v>
      </c>
      <c r="E40" s="25"/>
    </row>
    <row r="41" customFormat="false" ht="15" hidden="false" customHeight="true" outlineLevel="0" collapsed="false">
      <c r="A41" s="21" t="s">
        <v>129</v>
      </c>
      <c r="B41" s="22" t="s">
        <v>96</v>
      </c>
      <c r="C41" s="22" t="s">
        <v>96</v>
      </c>
      <c r="D41" s="22" t="s">
        <v>96</v>
      </c>
      <c r="E41" s="23"/>
    </row>
    <row r="42" customFormat="false" ht="15" hidden="false" customHeight="true" outlineLevel="0" collapsed="false">
      <c r="A42" s="24" t="s">
        <v>130</v>
      </c>
      <c r="B42" s="22" t="s">
        <v>96</v>
      </c>
      <c r="C42" s="22" t="s">
        <v>96</v>
      </c>
      <c r="D42" s="22" t="s">
        <v>96</v>
      </c>
      <c r="E42" s="25"/>
    </row>
    <row r="43" customFormat="false" ht="3.75" hidden="false" customHeight="true" outlineLevel="0" collapsed="false"/>
    <row r="44" customFormat="false" ht="4.5" hidden="false" customHeight="true" outlineLevel="0" collapsed="false"/>
    <row r="45" customFormat="false" ht="18" hidden="false" customHeight="true" outlineLevel="0" collapsed="false">
      <c r="A45" s="8" t="s">
        <v>48</v>
      </c>
      <c r="B45" s="8"/>
      <c r="C45" s="8"/>
      <c r="D45" s="8"/>
      <c r="E45" s="8"/>
    </row>
  </sheetData>
  <mergeCells count="8">
    <mergeCell ref="A1:C1"/>
    <mergeCell ref="D1:E1"/>
    <mergeCell ref="A2:E2"/>
    <mergeCell ref="A4:E4"/>
    <mergeCell ref="A14:E14"/>
    <mergeCell ref="A24:E24"/>
    <mergeCell ref="A36:E36"/>
    <mergeCell ref="A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</row>
    <row r="2" customFormat="false" ht="21.75" hidden="false" customHeight="true" outlineLevel="0" collapsed="false">
      <c r="A2" s="4" t="s">
        <v>131</v>
      </c>
      <c r="B2" s="4"/>
      <c r="C2" s="4"/>
      <c r="D2" s="4"/>
      <c r="E2" s="4"/>
      <c r="F2" s="4"/>
      <c r="G2" s="4"/>
      <c r="H2" s="4"/>
    </row>
    <row r="3" customFormat="false" ht="18" hidden="false" customHeight="true" outlineLevel="0" collapsed="false">
      <c r="A3" s="9" t="s">
        <v>132</v>
      </c>
      <c r="B3" s="9" t="s">
        <v>133</v>
      </c>
      <c r="C3" s="9" t="s">
        <v>134</v>
      </c>
      <c r="D3" s="9" t="s">
        <v>135</v>
      </c>
      <c r="E3" s="9" t="s">
        <v>136</v>
      </c>
      <c r="F3" s="9" t="s">
        <v>137</v>
      </c>
      <c r="G3" s="9" t="s">
        <v>138</v>
      </c>
      <c r="H3" s="9" t="s">
        <v>87</v>
      </c>
    </row>
    <row r="4" customFormat="false" ht="18" hidden="false" customHeight="true" outlineLevel="0" collapsed="false">
      <c r="A4" s="10" t="n">
        <v>1</v>
      </c>
      <c r="B4" s="11"/>
      <c r="C4" s="11"/>
      <c r="D4" s="11"/>
      <c r="E4" s="11"/>
      <c r="F4" s="11"/>
      <c r="G4" s="11"/>
      <c r="H4" s="11"/>
    </row>
    <row r="5" customFormat="false" ht="18" hidden="false" customHeight="true" outlineLevel="0" collapsed="false">
      <c r="A5" s="12" t="n">
        <v>2</v>
      </c>
      <c r="B5" s="13"/>
      <c r="C5" s="13"/>
      <c r="D5" s="13"/>
      <c r="E5" s="13"/>
      <c r="F5" s="13"/>
      <c r="G5" s="13"/>
      <c r="H5" s="13"/>
    </row>
    <row r="6" customFormat="false" ht="18" hidden="false" customHeight="true" outlineLevel="0" collapsed="false">
      <c r="A6" s="10" t="n">
        <v>3</v>
      </c>
      <c r="B6" s="11"/>
      <c r="C6" s="11"/>
      <c r="D6" s="11"/>
      <c r="E6" s="11"/>
      <c r="F6" s="11"/>
      <c r="G6" s="11"/>
      <c r="H6" s="11"/>
    </row>
    <row r="7" customFormat="false" ht="18" hidden="false" customHeight="true" outlineLevel="0" collapsed="false">
      <c r="A7" s="12" t="n">
        <v>4</v>
      </c>
      <c r="B7" s="13"/>
      <c r="C7" s="13"/>
      <c r="D7" s="13"/>
      <c r="E7" s="13"/>
      <c r="F7" s="13"/>
      <c r="G7" s="13"/>
      <c r="H7" s="13"/>
    </row>
    <row r="8" customFormat="false" ht="18" hidden="false" customHeight="true" outlineLevel="0" collapsed="false">
      <c r="A8" s="10" t="n">
        <v>5</v>
      </c>
      <c r="B8" s="11"/>
      <c r="C8" s="11"/>
      <c r="D8" s="11"/>
      <c r="E8" s="11"/>
      <c r="F8" s="11"/>
      <c r="G8" s="11"/>
      <c r="H8" s="11"/>
    </row>
    <row r="9" customFormat="false" ht="18" hidden="false" customHeight="true" outlineLevel="0" collapsed="false">
      <c r="A9" s="12" t="n">
        <v>6</v>
      </c>
      <c r="B9" s="13"/>
      <c r="C9" s="13"/>
      <c r="D9" s="13"/>
      <c r="E9" s="13"/>
      <c r="F9" s="13"/>
      <c r="G9" s="13"/>
      <c r="H9" s="13"/>
    </row>
    <row r="10" customFormat="false" ht="18" hidden="false" customHeight="true" outlineLevel="0" collapsed="false">
      <c r="A10" s="10" t="n">
        <v>7</v>
      </c>
      <c r="B10" s="11"/>
      <c r="C10" s="11"/>
      <c r="D10" s="11"/>
      <c r="E10" s="11"/>
      <c r="F10" s="11"/>
      <c r="G10" s="11"/>
      <c r="H10" s="11"/>
    </row>
    <row r="11" customFormat="false" ht="18" hidden="false" customHeight="true" outlineLevel="0" collapsed="false">
      <c r="A11" s="12" t="n">
        <v>8</v>
      </c>
      <c r="B11" s="13"/>
      <c r="C11" s="13"/>
      <c r="D11" s="13"/>
      <c r="E11" s="13"/>
      <c r="F11" s="13"/>
      <c r="G11" s="13"/>
      <c r="H11" s="13"/>
    </row>
    <row r="12" customFormat="false" ht="18" hidden="false" customHeight="true" outlineLevel="0" collapsed="false">
      <c r="A12" s="10" t="n">
        <v>9</v>
      </c>
      <c r="B12" s="11"/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n">
        <v>10</v>
      </c>
      <c r="B13" s="13"/>
      <c r="C13" s="13"/>
      <c r="D13" s="13"/>
      <c r="E13" s="13"/>
      <c r="F13" s="13"/>
      <c r="G13" s="13"/>
      <c r="H13" s="13"/>
    </row>
    <row r="14" customFormat="false" ht="18" hidden="false" customHeight="true" outlineLevel="0" collapsed="false">
      <c r="A14" s="10" t="n">
        <v>11</v>
      </c>
      <c r="B14" s="11"/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2" t="n">
        <v>12</v>
      </c>
      <c r="B15" s="13"/>
      <c r="C15" s="13"/>
      <c r="D15" s="13"/>
      <c r="E15" s="13"/>
      <c r="F15" s="13"/>
      <c r="G15" s="13"/>
      <c r="H15" s="13"/>
    </row>
    <row r="16" customFormat="false" ht="18" hidden="false" customHeight="true" outlineLevel="0" collapsed="false">
      <c r="A16" s="10" t="n">
        <v>13</v>
      </c>
      <c r="B16" s="11"/>
      <c r="C16" s="11"/>
      <c r="D16" s="11"/>
      <c r="E16" s="11"/>
      <c r="F16" s="11"/>
      <c r="G16" s="11"/>
      <c r="H16" s="11"/>
    </row>
    <row r="17" customFormat="false" ht="18" hidden="false" customHeight="true" outlineLevel="0" collapsed="false">
      <c r="A17" s="12" t="n">
        <v>14</v>
      </c>
      <c r="B17" s="13"/>
      <c r="C17" s="13"/>
      <c r="D17" s="13"/>
      <c r="E17" s="13"/>
      <c r="F17" s="13"/>
      <c r="G17" s="13"/>
      <c r="H17" s="13"/>
    </row>
    <row r="18" customFormat="false" ht="18" hidden="false" customHeight="true" outlineLevel="0" collapsed="false">
      <c r="A18" s="10" t="n">
        <v>15</v>
      </c>
      <c r="B18" s="11"/>
      <c r="C18" s="11"/>
      <c r="D18" s="11"/>
      <c r="E18" s="11"/>
      <c r="F18" s="11"/>
      <c r="G18" s="11"/>
      <c r="H18" s="11"/>
    </row>
    <row r="19" customFormat="false" ht="18" hidden="false" customHeight="true" outlineLevel="0" collapsed="false">
      <c r="A19" s="12" t="n">
        <v>16</v>
      </c>
      <c r="B19" s="13"/>
      <c r="C19" s="13"/>
      <c r="D19" s="13"/>
      <c r="E19" s="13"/>
      <c r="F19" s="13"/>
      <c r="G19" s="13"/>
      <c r="H19" s="13"/>
    </row>
    <row r="20" customFormat="false" ht="18" hidden="false" customHeight="true" outlineLevel="0" collapsed="false">
      <c r="A20" s="10" t="n">
        <v>17</v>
      </c>
      <c r="B20" s="11"/>
      <c r="C20" s="11"/>
      <c r="D20" s="11"/>
      <c r="E20" s="11"/>
      <c r="F20" s="11"/>
      <c r="G20" s="11"/>
      <c r="H20" s="11"/>
    </row>
    <row r="21" customFormat="false" ht="18" hidden="false" customHeight="true" outlineLevel="0" collapsed="false">
      <c r="A21" s="12" t="n">
        <v>18</v>
      </c>
      <c r="B21" s="13"/>
      <c r="C21" s="13"/>
      <c r="D21" s="13"/>
      <c r="E21" s="13"/>
      <c r="F21" s="13"/>
      <c r="G21" s="13"/>
      <c r="H21" s="13"/>
    </row>
    <row r="22" customFormat="false" ht="18" hidden="false" customHeight="true" outlineLevel="0" collapsed="false">
      <c r="A22" s="10" t="n">
        <v>19</v>
      </c>
      <c r="B22" s="11"/>
      <c r="C22" s="11"/>
      <c r="D22" s="11"/>
      <c r="E22" s="11"/>
      <c r="F22" s="11"/>
      <c r="G22" s="11"/>
      <c r="H22" s="11"/>
    </row>
    <row r="23" customFormat="false" ht="18" hidden="false" customHeight="true" outlineLevel="0" collapsed="false">
      <c r="A23" s="12" t="n">
        <v>20</v>
      </c>
      <c r="B23" s="13"/>
      <c r="C23" s="13"/>
      <c r="D23" s="13"/>
      <c r="E23" s="13"/>
      <c r="F23" s="13"/>
      <c r="G23" s="13"/>
      <c r="H23" s="13"/>
    </row>
    <row r="24" customFormat="false" ht="4.5" hidden="false" customHeight="true" outlineLevel="0" collapsed="false"/>
    <row r="25" customFormat="false" ht="21.75" hidden="false" customHeight="true" outlineLevel="0" collapsed="false">
      <c r="A25" s="4" t="s">
        <v>139</v>
      </c>
      <c r="B25" s="4"/>
      <c r="C25" s="4"/>
      <c r="D25" s="4"/>
      <c r="E25" s="4"/>
      <c r="F25" s="4"/>
      <c r="G25" s="4"/>
      <c r="H25" s="4"/>
    </row>
    <row r="26" customFormat="false" ht="15.75" hidden="false" customHeight="true" outlineLevel="0" collapsed="false">
      <c r="A26" s="5" t="s">
        <v>140</v>
      </c>
      <c r="B26" s="5"/>
      <c r="C26" s="5"/>
      <c r="D26" s="5"/>
      <c r="E26" s="5"/>
      <c r="F26" s="17" t="n">
        <f aca="false">COUNTA(B4:B23)</f>
        <v>0</v>
      </c>
      <c r="G26" s="17"/>
      <c r="H26" s="17"/>
    </row>
    <row r="27" customFormat="false" ht="15.75" hidden="false" customHeight="true" outlineLevel="0" collapsed="false">
      <c r="A27" s="5" t="s">
        <v>141</v>
      </c>
      <c r="B27" s="5"/>
      <c r="C27" s="5"/>
      <c r="D27" s="5"/>
      <c r="E27" s="5"/>
      <c r="F27" s="17" t="n">
        <f aca="false">COUNTIF(H4:H23,"Open")</f>
        <v>0</v>
      </c>
      <c r="G27" s="17"/>
      <c r="H27" s="17"/>
    </row>
    <row r="28" customFormat="false" ht="15.75" hidden="false" customHeight="true" outlineLevel="0" collapsed="false">
      <c r="A28" s="5" t="s">
        <v>142</v>
      </c>
      <c r="B28" s="5"/>
      <c r="C28" s="5"/>
      <c r="D28" s="5"/>
      <c r="E28" s="5"/>
      <c r="F28" s="17" t="n">
        <f aca="false">COUNTIF(H4:H23,"Closed")</f>
        <v>0</v>
      </c>
      <c r="G28" s="17"/>
      <c r="H28" s="17"/>
    </row>
    <row r="29" customFormat="false" ht="15.75" hidden="false" customHeight="true" outlineLevel="0" collapsed="false">
      <c r="A29" s="5" t="s">
        <v>143</v>
      </c>
      <c r="B29" s="5"/>
      <c r="C29" s="5"/>
      <c r="D29" s="5"/>
      <c r="E29" s="5"/>
      <c r="F29" s="17" t="n">
        <f aca="false">COUNTIF(H4:H23,"Critical")</f>
        <v>0</v>
      </c>
      <c r="G29" s="17"/>
      <c r="H29" s="17"/>
    </row>
    <row r="30" customFormat="false" ht="4.5" hidden="false" customHeight="true" outlineLevel="0" collapsed="false"/>
    <row r="31" customFormat="false" ht="18" hidden="false" customHeight="true" outlineLevel="0" collapsed="false">
      <c r="A31" s="8" t="s">
        <v>48</v>
      </c>
      <c r="B31" s="8"/>
      <c r="C31" s="8"/>
      <c r="D31" s="8"/>
      <c r="E31" s="8"/>
      <c r="F31" s="8"/>
      <c r="G31" s="8"/>
      <c r="H31" s="8"/>
    </row>
  </sheetData>
  <mergeCells count="13">
    <mergeCell ref="A1:D1"/>
    <mergeCell ref="E1:H1"/>
    <mergeCell ref="A2:H2"/>
    <mergeCell ref="A25:H25"/>
    <mergeCell ref="A26:E26"/>
    <mergeCell ref="F26:H26"/>
    <mergeCell ref="A27:E27"/>
    <mergeCell ref="F27:H27"/>
    <mergeCell ref="A28:E28"/>
    <mergeCell ref="F28:H28"/>
    <mergeCell ref="A29:E29"/>
    <mergeCell ref="F29:H29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7.5" hidden="false" customHeight="true" outlineLevel="0" collapsed="false"/>
    <row r="3" customFormat="false" ht="27.75" hidden="false" customHeight="true" outlineLevel="0" collapsed="false">
      <c r="A3" s="26" t="s">
        <v>144</v>
      </c>
      <c r="B3" s="26"/>
      <c r="C3" s="26"/>
      <c r="D3" s="26"/>
      <c r="E3" s="26"/>
      <c r="F3" s="26"/>
      <c r="G3" s="26"/>
      <c r="H3" s="26"/>
      <c r="I3" s="26"/>
      <c r="J3" s="26"/>
    </row>
    <row r="4" customFormat="false" ht="4.5" hidden="false" customHeight="true" outlineLevel="0" collapsed="false"/>
    <row r="5" customFormat="false" ht="21.75" hidden="false" customHeight="true" outlineLevel="0" collapsed="false">
      <c r="A5" s="4" t="s">
        <v>145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8" hidden="false" customHeight="true" outlineLevel="0" collapsed="false">
      <c r="A6" s="9" t="s">
        <v>52</v>
      </c>
      <c r="B6" s="9" t="s">
        <v>146</v>
      </c>
      <c r="C6" s="9" t="s">
        <v>147</v>
      </c>
      <c r="D6" s="9" t="s">
        <v>148</v>
      </c>
      <c r="E6" s="9" t="s">
        <v>149</v>
      </c>
      <c r="F6" s="9" t="s">
        <v>150</v>
      </c>
      <c r="G6" s="9" t="s">
        <v>151</v>
      </c>
      <c r="H6" s="9" t="s">
        <v>152</v>
      </c>
      <c r="I6" s="9" t="s">
        <v>153</v>
      </c>
      <c r="J6" s="9" t="s">
        <v>154</v>
      </c>
    </row>
    <row r="7" customFormat="false" ht="15" hidden="false" customHeight="true" outlineLevel="0" collapsed="false">
      <c r="A7" s="27" t="s">
        <v>155</v>
      </c>
      <c r="B7" s="12"/>
      <c r="C7" s="12"/>
      <c r="D7" s="12"/>
      <c r="E7" s="12"/>
      <c r="F7" s="12"/>
      <c r="G7" s="12"/>
      <c r="H7" s="12"/>
      <c r="I7" s="12"/>
      <c r="J7" s="28" t="n">
        <f aca="false">SUM(B7:I7)</f>
        <v>0</v>
      </c>
    </row>
    <row r="8" customFormat="false" ht="15" hidden="false" customHeight="true" outlineLevel="0" collapsed="false">
      <c r="A8" s="27" t="s">
        <v>156</v>
      </c>
      <c r="B8" s="10"/>
      <c r="C8" s="10"/>
      <c r="D8" s="10"/>
      <c r="E8" s="10"/>
      <c r="F8" s="10"/>
      <c r="G8" s="10"/>
      <c r="H8" s="10"/>
      <c r="I8" s="10"/>
      <c r="J8" s="28" t="n">
        <f aca="false">SUM(B8:I8)</f>
        <v>0</v>
      </c>
    </row>
    <row r="9" customFormat="false" ht="15" hidden="false" customHeight="true" outlineLevel="0" collapsed="false">
      <c r="A9" s="27" t="s">
        <v>157</v>
      </c>
      <c r="B9" s="12"/>
      <c r="C9" s="12"/>
      <c r="D9" s="12"/>
      <c r="E9" s="12"/>
      <c r="F9" s="12"/>
      <c r="G9" s="12"/>
      <c r="H9" s="12"/>
      <c r="I9" s="12"/>
      <c r="J9" s="28" t="n">
        <f aca="false">SUM(B9:I9)</f>
        <v>0</v>
      </c>
    </row>
    <row r="10" customFormat="false" ht="15" hidden="false" customHeight="true" outlineLevel="0" collapsed="false">
      <c r="A10" s="27" t="s">
        <v>158</v>
      </c>
      <c r="B10" s="10"/>
      <c r="C10" s="10"/>
      <c r="D10" s="10"/>
      <c r="E10" s="10"/>
      <c r="F10" s="10"/>
      <c r="G10" s="10"/>
      <c r="H10" s="10"/>
      <c r="I10" s="10"/>
      <c r="J10" s="28" t="n">
        <f aca="false">SUM(B10:I10)</f>
        <v>0</v>
      </c>
    </row>
    <row r="11" customFormat="false" ht="15" hidden="false" customHeight="true" outlineLevel="0" collapsed="false">
      <c r="A11" s="27" t="s">
        <v>159</v>
      </c>
      <c r="B11" s="12"/>
      <c r="C11" s="12"/>
      <c r="D11" s="12"/>
      <c r="E11" s="12"/>
      <c r="F11" s="12"/>
      <c r="G11" s="12"/>
      <c r="H11" s="12"/>
      <c r="I11" s="12"/>
      <c r="J11" s="28" t="n">
        <f aca="false">SUM(B11:I11)</f>
        <v>0</v>
      </c>
    </row>
    <row r="12" customFormat="false" ht="15" hidden="false" customHeight="true" outlineLevel="0" collapsed="false">
      <c r="A12" s="27" t="s">
        <v>160</v>
      </c>
      <c r="B12" s="10"/>
      <c r="C12" s="10"/>
      <c r="D12" s="10"/>
      <c r="E12" s="10"/>
      <c r="F12" s="10"/>
      <c r="G12" s="10"/>
      <c r="H12" s="10"/>
      <c r="I12" s="10"/>
      <c r="J12" s="28" t="n">
        <f aca="false">SUM(B12:I12)</f>
        <v>0</v>
      </c>
    </row>
    <row r="13" customFormat="false" ht="15" hidden="false" customHeight="true" outlineLevel="0" collapsed="false">
      <c r="A13" s="27" t="s">
        <v>161</v>
      </c>
      <c r="B13" s="12"/>
      <c r="C13" s="12"/>
      <c r="D13" s="12"/>
      <c r="E13" s="12"/>
      <c r="F13" s="12"/>
      <c r="G13" s="12"/>
      <c r="H13" s="12"/>
      <c r="I13" s="12"/>
      <c r="J13" s="28" t="n">
        <f aca="false">SUM(B13:I13)</f>
        <v>0</v>
      </c>
    </row>
    <row r="14" customFormat="false" ht="15" hidden="false" customHeight="true" outlineLevel="0" collapsed="false">
      <c r="A14" s="27" t="s">
        <v>162</v>
      </c>
      <c r="B14" s="10"/>
      <c r="C14" s="10"/>
      <c r="D14" s="10"/>
      <c r="E14" s="10"/>
      <c r="F14" s="10"/>
      <c r="G14" s="10"/>
      <c r="H14" s="10"/>
      <c r="I14" s="10"/>
      <c r="J14" s="28" t="n">
        <f aca="false">SUM(B14:I14)</f>
        <v>0</v>
      </c>
    </row>
    <row r="15" customFormat="false" ht="15" hidden="false" customHeight="true" outlineLevel="0" collapsed="false">
      <c r="A15" s="27" t="s">
        <v>163</v>
      </c>
      <c r="B15" s="12"/>
      <c r="C15" s="12"/>
      <c r="D15" s="12"/>
      <c r="E15" s="12"/>
      <c r="F15" s="12"/>
      <c r="G15" s="12"/>
      <c r="H15" s="12"/>
      <c r="I15" s="12"/>
      <c r="J15" s="28" t="n">
        <f aca="false">SUM(B15:I15)</f>
        <v>0</v>
      </c>
    </row>
    <row r="16" customFormat="false" ht="15" hidden="false" customHeight="true" outlineLevel="0" collapsed="false">
      <c r="A16" s="27" t="s">
        <v>164</v>
      </c>
      <c r="B16" s="10"/>
      <c r="C16" s="10"/>
      <c r="D16" s="10"/>
      <c r="E16" s="10"/>
      <c r="F16" s="10"/>
      <c r="G16" s="10"/>
      <c r="H16" s="10"/>
      <c r="I16" s="10"/>
      <c r="J16" s="28" t="n">
        <f aca="false">SUM(B16:I16)</f>
        <v>0</v>
      </c>
    </row>
    <row r="17" customFormat="false" ht="16.5" hidden="false" customHeight="true" outlineLevel="0" collapsed="false">
      <c r="A17" s="15" t="s">
        <v>165</v>
      </c>
      <c r="B17" s="15" t="n">
        <f aca="false">SUM(B7:B16)</f>
        <v>0</v>
      </c>
      <c r="C17" s="15" t="n">
        <f aca="false">SUM(C7:C16)</f>
        <v>0</v>
      </c>
      <c r="D17" s="15" t="n">
        <f aca="false">SUM(D7:D16)</f>
        <v>0</v>
      </c>
      <c r="E17" s="15" t="n">
        <f aca="false">SUM(E7:E16)</f>
        <v>0</v>
      </c>
      <c r="F17" s="15" t="n">
        <f aca="false">SUM(F7:F16)</f>
        <v>0</v>
      </c>
      <c r="G17" s="15" t="n">
        <f aca="false">SUM(G7:G16)</f>
        <v>0</v>
      </c>
      <c r="H17" s="15" t="n">
        <f aca="false">SUM(H7:H16)</f>
        <v>0</v>
      </c>
      <c r="I17" s="15" t="n">
        <f aca="false">SUM(I7:I16)</f>
        <v>0</v>
      </c>
      <c r="J17" s="15" t="n">
        <f aca="false">SUM(J7:J16)</f>
        <v>0</v>
      </c>
    </row>
    <row r="18" customFormat="false" ht="4.5" hidden="false" customHeight="true" outlineLevel="0" collapsed="false"/>
    <row r="19" customFormat="false" ht="21.75" hidden="false" customHeight="true" outlineLevel="0" collapsed="false">
      <c r="A19" s="4" t="s">
        <v>166</v>
      </c>
      <c r="B19" s="4"/>
      <c r="C19" s="4"/>
      <c r="D19" s="4"/>
      <c r="E19" s="4"/>
      <c r="F19" s="4"/>
      <c r="G19" s="4"/>
      <c r="H19" s="4"/>
      <c r="I19" s="4"/>
      <c r="J19" s="4"/>
    </row>
    <row r="20" customFormat="false" ht="18" hidden="false" customHeight="true" outlineLevel="0" collapsed="false">
      <c r="A20" s="9" t="s">
        <v>52</v>
      </c>
      <c r="B20" s="9" t="s">
        <v>167</v>
      </c>
      <c r="C20" s="9" t="s">
        <v>168</v>
      </c>
      <c r="D20" s="9" t="s">
        <v>169</v>
      </c>
      <c r="E20" s="9" t="s">
        <v>77</v>
      </c>
      <c r="F20" s="9" t="s">
        <v>170</v>
      </c>
      <c r="G20" s="9" t="s">
        <v>171</v>
      </c>
      <c r="H20" s="9" t="s">
        <v>172</v>
      </c>
      <c r="I20" s="9" t="s">
        <v>173</v>
      </c>
      <c r="J20" s="9" t="s">
        <v>174</v>
      </c>
    </row>
    <row r="21" customFormat="false" ht="15" hidden="false" customHeight="true" outlineLevel="0" collapsed="false">
      <c r="A21" s="12"/>
      <c r="B21" s="12"/>
      <c r="C21" s="12"/>
      <c r="D21" s="12" t="str">
        <f aca="false">IF(AND(B21&lt;&gt;"",C21&lt;&gt;""),B21*C21,"")</f>
        <v/>
      </c>
      <c r="E21" s="12"/>
      <c r="F21" s="12" t="str">
        <f aca="false">IF(AND(D21&lt;&gt;"",E21&lt;&gt;""),D21*E21,"")</f>
        <v/>
      </c>
      <c r="G21" s="12"/>
      <c r="H21" s="12"/>
      <c r="I21" s="12" t="str">
        <f aca="false">IF(AND(G21&lt;&gt;"",H21&lt;&gt;"",C21&lt;&gt;""),G21*H21*C21,"")</f>
        <v/>
      </c>
      <c r="J21" s="12" t="str">
        <f aca="false">IF(AND(F21&lt;&gt;"",I21&lt;&gt;""),F21+I21,"")</f>
        <v/>
      </c>
    </row>
    <row r="22" customFormat="false" ht="15" hidden="false" customHeight="true" outlineLevel="0" collapsed="false">
      <c r="A22" s="10"/>
      <c r="B22" s="10"/>
      <c r="C22" s="10"/>
      <c r="D22" s="10" t="str">
        <f aca="false">IF(AND(B22&lt;&gt;"",C22&lt;&gt;""),B22*C22,"")</f>
        <v/>
      </c>
      <c r="E22" s="10"/>
      <c r="F22" s="10" t="str">
        <f aca="false">IF(AND(D22&lt;&gt;"",E22&lt;&gt;""),D22*E22,"")</f>
        <v/>
      </c>
      <c r="G22" s="10"/>
      <c r="H22" s="10"/>
      <c r="I22" s="10" t="str">
        <f aca="false">IF(AND(G22&lt;&gt;"",H22&lt;&gt;"",C22&lt;&gt;""),G22*H22*C22,"")</f>
        <v/>
      </c>
      <c r="J22" s="10" t="str">
        <f aca="false">IF(AND(F22&lt;&gt;"",I22&lt;&gt;""),F22+I22,"")</f>
        <v/>
      </c>
    </row>
    <row r="23" customFormat="false" ht="15" hidden="false" customHeight="true" outlineLevel="0" collapsed="false">
      <c r="A23" s="12"/>
      <c r="B23" s="12"/>
      <c r="C23" s="12"/>
      <c r="D23" s="12" t="str">
        <f aca="false">IF(AND(B23&lt;&gt;"",C23&lt;&gt;""),B23*C23,"")</f>
        <v/>
      </c>
      <c r="E23" s="12"/>
      <c r="F23" s="12" t="str">
        <f aca="false">IF(AND(D23&lt;&gt;"",E23&lt;&gt;""),D23*E23,"")</f>
        <v/>
      </c>
      <c r="G23" s="12"/>
      <c r="H23" s="12"/>
      <c r="I23" s="12" t="str">
        <f aca="false">IF(AND(G23&lt;&gt;"",H23&lt;&gt;"",C23&lt;&gt;""),G23*H23*C23,"")</f>
        <v/>
      </c>
      <c r="J23" s="12" t="str">
        <f aca="false">IF(AND(F23&lt;&gt;"",I23&lt;&gt;""),F23+I23,"")</f>
        <v/>
      </c>
    </row>
    <row r="24" customFormat="false" ht="15" hidden="false" customHeight="true" outlineLevel="0" collapsed="false">
      <c r="A24" s="10"/>
      <c r="B24" s="10"/>
      <c r="C24" s="10"/>
      <c r="D24" s="10" t="str">
        <f aca="false">IF(AND(B24&lt;&gt;"",C24&lt;&gt;""),B24*C24,"")</f>
        <v/>
      </c>
      <c r="E24" s="10"/>
      <c r="F24" s="10" t="str">
        <f aca="false">IF(AND(D24&lt;&gt;"",E24&lt;&gt;""),D24*E24,"")</f>
        <v/>
      </c>
      <c r="G24" s="10"/>
      <c r="H24" s="10"/>
      <c r="I24" s="10" t="str">
        <f aca="false">IF(AND(G24&lt;&gt;"",H24&lt;&gt;"",C24&lt;&gt;""),G24*H24*C24,"")</f>
        <v/>
      </c>
      <c r="J24" s="10" t="str">
        <f aca="false">IF(AND(F24&lt;&gt;"",I24&lt;&gt;""),F24+I24,"")</f>
        <v/>
      </c>
    </row>
    <row r="25" customFormat="false" ht="15" hidden="false" customHeight="true" outlineLevel="0" collapsed="false">
      <c r="A25" s="12"/>
      <c r="B25" s="12"/>
      <c r="C25" s="12"/>
      <c r="D25" s="12" t="str">
        <f aca="false">IF(AND(B25&lt;&gt;"",C25&lt;&gt;""),B25*C25,"")</f>
        <v/>
      </c>
      <c r="E25" s="12"/>
      <c r="F25" s="12" t="str">
        <f aca="false">IF(AND(D25&lt;&gt;"",E25&lt;&gt;""),D25*E25,"")</f>
        <v/>
      </c>
      <c r="G25" s="12"/>
      <c r="H25" s="12"/>
      <c r="I25" s="12" t="str">
        <f aca="false">IF(AND(G25&lt;&gt;"",H25&lt;&gt;"",C25&lt;&gt;""),G25*H25*C25,"")</f>
        <v/>
      </c>
      <c r="J25" s="12" t="str">
        <f aca="false">IF(AND(F25&lt;&gt;"",I25&lt;&gt;""),F25+I25,"")</f>
        <v/>
      </c>
    </row>
    <row r="26" customFormat="false" ht="15" hidden="false" customHeight="true" outlineLevel="0" collapsed="false">
      <c r="A26" s="10"/>
      <c r="B26" s="10"/>
      <c r="C26" s="10"/>
      <c r="D26" s="10" t="str">
        <f aca="false">IF(AND(B26&lt;&gt;"",C26&lt;&gt;""),B26*C26,"")</f>
        <v/>
      </c>
      <c r="E26" s="10"/>
      <c r="F26" s="10" t="str">
        <f aca="false">IF(AND(D26&lt;&gt;"",E26&lt;&gt;""),D26*E26,"")</f>
        <v/>
      </c>
      <c r="G26" s="10"/>
      <c r="H26" s="10"/>
      <c r="I26" s="10" t="str">
        <f aca="false">IF(AND(G26&lt;&gt;"",H26&lt;&gt;"",C26&lt;&gt;""),G26*H26*C26,"")</f>
        <v/>
      </c>
      <c r="J26" s="10" t="str">
        <f aca="false">IF(AND(F26&lt;&gt;"",I26&lt;&gt;""),F26+I26,"")</f>
        <v/>
      </c>
    </row>
    <row r="27" customFormat="false" ht="15" hidden="false" customHeight="true" outlineLevel="0" collapsed="false">
      <c r="A27" s="12"/>
      <c r="B27" s="12"/>
      <c r="C27" s="12"/>
      <c r="D27" s="12" t="str">
        <f aca="false">IF(AND(B27&lt;&gt;"",C27&lt;&gt;""),B27*C27,"")</f>
        <v/>
      </c>
      <c r="E27" s="12"/>
      <c r="F27" s="12" t="str">
        <f aca="false">IF(AND(D27&lt;&gt;"",E27&lt;&gt;""),D27*E27,"")</f>
        <v/>
      </c>
      <c r="G27" s="12"/>
      <c r="H27" s="12"/>
      <c r="I27" s="12" t="str">
        <f aca="false">IF(AND(G27&lt;&gt;"",H27&lt;&gt;"",C27&lt;&gt;""),G27*H27*C27,"")</f>
        <v/>
      </c>
      <c r="J27" s="12" t="str">
        <f aca="false">IF(AND(F27&lt;&gt;"",I27&lt;&gt;""),F27+I27,"")</f>
        <v/>
      </c>
    </row>
    <row r="28" customFormat="false" ht="15" hidden="false" customHeight="true" outlineLevel="0" collapsed="false">
      <c r="A28" s="10"/>
      <c r="B28" s="10"/>
      <c r="C28" s="10"/>
      <c r="D28" s="10" t="str">
        <f aca="false">IF(AND(B28&lt;&gt;"",C28&lt;&gt;""),B28*C28,"")</f>
        <v/>
      </c>
      <c r="E28" s="10"/>
      <c r="F28" s="10" t="str">
        <f aca="false">IF(AND(D28&lt;&gt;"",E28&lt;&gt;""),D28*E28,"")</f>
        <v/>
      </c>
      <c r="G28" s="10"/>
      <c r="H28" s="10"/>
      <c r="I28" s="10" t="str">
        <f aca="false">IF(AND(G28&lt;&gt;"",H28&lt;&gt;"",C28&lt;&gt;""),G28*H28*C28,"")</f>
        <v/>
      </c>
      <c r="J28" s="10" t="str">
        <f aca="false">IF(AND(F28&lt;&gt;"",I28&lt;&gt;""),F28+I28,"")</f>
        <v/>
      </c>
    </row>
    <row r="29" customFormat="false" ht="15" hidden="false" customHeight="true" outlineLevel="0" collapsed="false">
      <c r="A29" s="12"/>
      <c r="B29" s="12"/>
      <c r="C29" s="12"/>
      <c r="D29" s="12" t="str">
        <f aca="false">IF(AND(B29&lt;&gt;"",C29&lt;&gt;""),B29*C29,"")</f>
        <v/>
      </c>
      <c r="E29" s="12"/>
      <c r="F29" s="12" t="str">
        <f aca="false">IF(AND(D29&lt;&gt;"",E29&lt;&gt;""),D29*E29,"")</f>
        <v/>
      </c>
      <c r="G29" s="12"/>
      <c r="H29" s="12"/>
      <c r="I29" s="12" t="str">
        <f aca="false">IF(AND(G29&lt;&gt;"",H29&lt;&gt;"",C29&lt;&gt;""),G29*H29*C29,"")</f>
        <v/>
      </c>
      <c r="J29" s="12" t="str">
        <f aca="false">IF(AND(F29&lt;&gt;"",I29&lt;&gt;""),F29+I29,"")</f>
        <v/>
      </c>
    </row>
    <row r="30" customFormat="false" ht="15" hidden="false" customHeight="true" outlineLevel="0" collapsed="false">
      <c r="A30" s="10"/>
      <c r="B30" s="10"/>
      <c r="C30" s="10"/>
      <c r="D30" s="10" t="str">
        <f aca="false">IF(AND(B30&lt;&gt;"",C30&lt;&gt;""),B30*C30,"")</f>
        <v/>
      </c>
      <c r="E30" s="10"/>
      <c r="F30" s="10" t="str">
        <f aca="false">IF(AND(D30&lt;&gt;"",E30&lt;&gt;""),D30*E30,"")</f>
        <v/>
      </c>
      <c r="G30" s="10"/>
      <c r="H30" s="10"/>
      <c r="I30" s="10" t="str">
        <f aca="false">IF(AND(G30&lt;&gt;"",H30&lt;&gt;"",C30&lt;&gt;""),G30*H30*C30,"")</f>
        <v/>
      </c>
      <c r="J30" s="10" t="str">
        <f aca="false">IF(AND(F30&lt;&gt;"",I30&lt;&gt;""),F30+I30,"")</f>
        <v/>
      </c>
    </row>
    <row r="31" customFormat="false" ht="16.5" hidden="false" customHeight="true" outlineLevel="0" collapsed="false">
      <c r="A31" s="29" t="s">
        <v>165</v>
      </c>
      <c r="B31" s="29"/>
      <c r="C31" s="29"/>
      <c r="D31" s="15" t="n">
        <f aca="false">SUM(D21:D30)</f>
        <v>0</v>
      </c>
      <c r="E31" s="16"/>
      <c r="F31" s="15" t="n">
        <f aca="false">SUM(F21:F30)</f>
        <v>0</v>
      </c>
      <c r="G31" s="16"/>
      <c r="H31" s="16"/>
      <c r="I31" s="15" t="n">
        <f aca="false">SUM(I21:I30)</f>
        <v>0</v>
      </c>
      <c r="J31" s="15" t="n">
        <f aca="false">SUM(J21:J30)</f>
        <v>0</v>
      </c>
    </row>
    <row r="32" customFormat="false" ht="4.5" hidden="false" customHeight="true" outlineLevel="0" collapsed="false"/>
    <row r="33" customFormat="false" ht="18" hidden="false" customHeight="true" outlineLevel="0" collapsed="false">
      <c r="A33" s="8" t="s">
        <v>48</v>
      </c>
      <c r="B33" s="8"/>
      <c r="C33" s="8"/>
      <c r="D33" s="8"/>
      <c r="E33" s="8"/>
      <c r="F33" s="8"/>
      <c r="G33" s="8"/>
      <c r="H33" s="8"/>
      <c r="I33" s="8"/>
      <c r="J33" s="8"/>
    </row>
  </sheetData>
  <mergeCells count="7">
    <mergeCell ref="A1:E1"/>
    <mergeCell ref="F1:J1"/>
    <mergeCell ref="A3:J3"/>
    <mergeCell ref="A5:J5"/>
    <mergeCell ref="A19:J19"/>
    <mergeCell ref="A31:C31"/>
    <mergeCell ref="A33:J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2026-03-20T12:46:07Z</dcterms:created>
  <dc:creator>openpyxl</dc:creator>
  <dc:description/>
  <dc:language>en-US</dc:language>
  <cp:lastModifiedBy/>
  <dcterms:modified xsi:type="dcterms:W3CDTF">2026-03-20T12:46:08Z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