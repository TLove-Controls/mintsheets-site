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iagnostic &amp; Service Calls" sheetId="2" state="visible" r:id="rId4"/>
    <sheet name="Preventive Maintenance" sheetId="3" state="visible" r:id="rId5"/>
    <sheet name="Repairs &amp; Labor" sheetId="4" state="visible" r:id="rId6"/>
    <sheet name="Equipment Installation" sheetId="5" state="visible" r:id="rId7"/>
    <sheet name="Materials &amp; Parts" sheetId="6" state="visible" r:id="rId8"/>
    <sheet name="Flat-Rate Calculator" sheetId="7" state="visible" r:id="rId9"/>
    <sheet name="Service Agreements" sheetId="8" state="visible" r:id="rId10"/>
    <sheet name="Margin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<sst xmlns="http://schemas.openxmlformats.org/spreadsheetml/2006/main" count="1031" uniqueCount="576">
  <si>
    <t xml:space="preserve">Your HVAC Co.</t>
  </si>
  <si>
    <t xml:space="preserve">HVAC Price Book</t>
  </si>
  <si>
    <t xml:space="preserve">HVAC PRICE BOOK</t>
  </si>
  <si>
    <t xml:space="preserve">  🏢  COMPANY INFORMATION</t>
  </si>
  <si>
    <t xml:space="preserve">Company Name:</t>
  </si>
  <si>
    <t xml:space="preserve">License #:</t>
  </si>
  <si>
    <t xml:space="preserve">Owner / Principal:</t>
  </si>
  <si>
    <t xml:space="preserve">EPA 608 Cert #:</t>
  </si>
  <si>
    <t xml:space="preserve">Business Address:</t>
  </si>
  <si>
    <t xml:space="preserve">NATE Cert #:</t>
  </si>
  <si>
    <t xml:space="preserve">City / State / ZIP:</t>
  </si>
  <si>
    <t xml:space="preserve">Insurance Carrier:</t>
  </si>
  <si>
    <t xml:space="preserve">Phone:</t>
  </si>
  <si>
    <t xml:space="preserve">Policy #:</t>
  </si>
  <si>
    <t xml:space="preserve">Email:</t>
  </si>
  <si>
    <t xml:space="preserve">Policy Exp. Date:</t>
  </si>
  <si>
    <t xml:space="preserve">Website:</t>
  </si>
  <si>
    <t xml:space="preserve">Bond Amount:</t>
  </si>
  <si>
    <t xml:space="preserve">  📋  PRICE BOOK INFORMATION</t>
  </si>
  <si>
    <t xml:space="preserve">Price Book Version:</t>
  </si>
  <si>
    <t xml:space="preserve">Effective Date:</t>
  </si>
  <si>
    <t xml:space="preserve">Revision Number:</t>
  </si>
  <si>
    <t xml:space="preserve">Expiration Date:</t>
  </si>
  <si>
    <t xml:space="preserve">Prepared By:</t>
  </si>
  <si>
    <t xml:space="preserve">Approved By:</t>
  </si>
  <si>
    <t xml:space="preserve">Service Territory:</t>
  </si>
  <si>
    <t xml:space="preserve">Currency:</t>
  </si>
  <si>
    <t xml:space="preserve">  💲  STANDARD RATE ASSUMPTIONS</t>
  </si>
  <si>
    <t xml:space="preserve">Standard Labor Rate ($/hr):</t>
  </si>
  <si>
    <t xml:space="preserve">Overtime Rate ($/hr):</t>
  </si>
  <si>
    <t xml:space="preserve">Emergency / After-Hours Rate ($/hr):</t>
  </si>
  <si>
    <t xml:space="preserve">Holiday Rate ($/hr):</t>
  </si>
  <si>
    <t xml:space="preserve">Minimum Service Call Charge ($):</t>
  </si>
  <si>
    <t xml:space="preserve">Trip Charge ($):</t>
  </si>
  <si>
    <t xml:space="preserve">Default Overhead %:</t>
  </si>
  <si>
    <t xml:space="preserve">Default Profit Margin %:</t>
  </si>
  <si>
    <t xml:space="preserve">Default Sales Tax Rate %:</t>
  </si>
  <si>
    <t xml:space="preserve">Default Markup on Materials %:</t>
  </si>
  <si>
    <t xml:space="preserve">  📝  TERMS &amp; CONDITIONS SUMMARY</t>
  </si>
  <si>
    <t xml:space="preserve">  1. All prices are subject to change without notice. See current price book for applicable rates.</t>
  </si>
  <si>
    <t xml:space="preserve">  2. Labor rates apply to standard business hours (M–F, 7:00 AM – 5:00 PM). Overtime applies outside these hours.</t>
  </si>
  <si>
    <t xml:space="preserve">  3. Material pricing is based on current distributor cost plus applicable markup. Actual costs may vary.</t>
  </si>
  <si>
    <t xml:space="preserve">  4. Flat-rate prices include standard labor and materials unless otherwise noted.</t>
  </si>
  <si>
    <t xml:space="preserve">  5. Diagnostic / trip charges apply to all service calls regardless of repair outcome.</t>
  </si>
  <si>
    <t xml:space="preserve">  6. All work performed in accordance with applicable codes, standards, and manufacturer specifications.</t>
  </si>
  <si>
    <t xml:space="preserve">  7. Warranty: 1-year labor on installed equipment; parts warranty per manufacturer policy.</t>
  </si>
  <si>
    <t xml:space="preserve">  8. Payment terms: Net 30 from invoice date unless otherwise agreed in writing.</t>
  </si>
  <si>
    <t xml:space="preserve">Your HVAC Co.  •  Rogers, AR  •  (479) 555-0100  •  www.yourhvacco.com</t>
  </si>
  <si>
    <t xml:space="preserve">  🔍  DIAGNOSTIC &amp; SERVICE CALL RATES</t>
  </si>
  <si>
    <t xml:space="preserve">Item Code</t>
  </si>
  <si>
    <t xml:space="preserve">Service Description</t>
  </si>
  <si>
    <t xml:space="preserve">Category</t>
  </si>
  <si>
    <t xml:space="preserve">Unit</t>
  </si>
  <si>
    <t xml:space="preserve">Labor Hrs</t>
  </si>
  <si>
    <t xml:space="preserve">Labor Cost ($)</t>
  </si>
  <si>
    <t xml:space="preserve">Material ($)</t>
  </si>
  <si>
    <t xml:space="preserve">Flat Rate Price ($)</t>
  </si>
  <si>
    <t xml:space="preserve">Notes</t>
  </si>
  <si>
    <t xml:space="preserve">SVC-001</t>
  </si>
  <si>
    <t xml:space="preserve">Standard Service Call / Diagnostic</t>
  </si>
  <si>
    <t xml:space="preserve">Service Call</t>
  </si>
  <si>
    <t xml:space="preserve">Each</t>
  </si>
  <si>
    <t xml:space="preserve">1.0</t>
  </si>
  <si>
    <t xml:space="preserve">Up to 1 hr on-site</t>
  </si>
  <si>
    <t xml:space="preserve">SVC-002</t>
  </si>
  <si>
    <t xml:space="preserve">After-Hours Service Call</t>
  </si>
  <si>
    <t xml:space="preserve">OT rate applies</t>
  </si>
  <si>
    <t xml:space="preserve">SVC-003</t>
  </si>
  <si>
    <t xml:space="preserve">Emergency Same-Day Service Call</t>
  </si>
  <si>
    <t xml:space="preserve">Emergency rate</t>
  </si>
  <si>
    <t xml:space="preserve">SVC-004</t>
  </si>
  <si>
    <t xml:space="preserve">Holiday Service Call</t>
  </si>
  <si>
    <t xml:space="preserve">Holiday rate</t>
  </si>
  <si>
    <t xml:space="preserve">SVC-005</t>
  </si>
  <si>
    <t xml:space="preserve">Trip / Travel Charge (Local)</t>
  </si>
  <si>
    <t xml:space="preserve">0.5</t>
  </si>
  <si>
    <t xml:space="preserve">Within 25 mi</t>
  </si>
  <si>
    <t xml:space="preserve">SVC-006</t>
  </si>
  <si>
    <t xml:space="preserve">Trip / Travel Charge (Extended)</t>
  </si>
  <si>
    <t xml:space="preserve">25–50 mi</t>
  </si>
  <si>
    <t xml:space="preserve">SVC-007</t>
  </si>
  <si>
    <t xml:space="preserve">Second-Trip Charge (Customer Delay)</t>
  </si>
  <si>
    <t xml:space="preserve">Customer not ready</t>
  </si>
  <si>
    <t xml:space="preserve">SVC-008</t>
  </si>
  <si>
    <t xml:space="preserve">Residential Diagnostic — HVAC System</t>
  </si>
  <si>
    <t xml:space="preserve">Diagnostic</t>
  </si>
  <si>
    <t xml:space="preserve">SVC-009</t>
  </si>
  <si>
    <t xml:space="preserve">Commercial Diagnostic — Single System</t>
  </si>
  <si>
    <t xml:space="preserve">1.5</t>
  </si>
  <si>
    <t xml:space="preserve">SVC-010</t>
  </si>
  <si>
    <t xml:space="preserve">Commercial Diagnostic — Multiple Systems</t>
  </si>
  <si>
    <t xml:space="preserve">2.0</t>
  </si>
  <si>
    <t xml:space="preserve">Per system quote</t>
  </si>
  <si>
    <t xml:space="preserve">SVC-011</t>
  </si>
  <si>
    <t xml:space="preserve">Refrigerant Leak Search — Basic</t>
  </si>
  <si>
    <t xml:space="preserve">Electronic detection</t>
  </si>
  <si>
    <t xml:space="preserve">SVC-012</t>
  </si>
  <si>
    <t xml:space="preserve">Refrigerant Leak Search — Advanced</t>
  </si>
  <si>
    <t xml:space="preserve">UV dye + nitrogen</t>
  </si>
  <si>
    <t xml:space="preserve">SVC-013</t>
  </si>
  <si>
    <t xml:space="preserve">System Performance Test / Report</t>
  </si>
  <si>
    <t xml:space="preserve">Written report incl.</t>
  </si>
  <si>
    <t xml:space="preserve">SVC-014</t>
  </si>
  <si>
    <t xml:space="preserve">Indoor Air Quality Assessment</t>
  </si>
  <si>
    <t xml:space="preserve">SVC-015</t>
  </si>
  <si>
    <t xml:space="preserve">Duct Leakage / Blower Door Test</t>
  </si>
  <si>
    <t xml:space="preserve">3.0</t>
  </si>
  <si>
    <t xml:space="preserve">  🛠️  PREVENTIVE MAINTENANCE — FLAT RATE PRICING</t>
  </si>
  <si>
    <t xml:space="preserve">System Type</t>
  </si>
  <si>
    <t xml:space="preserve">Frequency</t>
  </si>
  <si>
    <t xml:space="preserve">  ▶  RESIDENTIAL — SPLIT SYSTEMS</t>
  </si>
  <si>
    <t xml:space="preserve">PM-R01</t>
  </si>
  <si>
    <t xml:space="preserve">Res. Split System Tune-Up — Cooling</t>
  </si>
  <si>
    <t xml:space="preserve">Split System — Res.</t>
  </si>
  <si>
    <t xml:space="preserve">Annual</t>
  </si>
  <si>
    <t xml:space="preserve">Standard 21-pt</t>
  </si>
  <si>
    <t xml:space="preserve">PM-R02</t>
  </si>
  <si>
    <t xml:space="preserve">Res. Split System Tune-Up — Heating (Gas)</t>
  </si>
  <si>
    <t xml:space="preserve">PM-R03</t>
  </si>
  <si>
    <t xml:space="preserve">Res. Split System Tune-Up — Heating (HP)</t>
  </si>
  <si>
    <t xml:space="preserve">PM-R04</t>
  </si>
  <si>
    <t xml:space="preserve">Res. Split System Bi-Annual (Spring + Fall)</t>
  </si>
  <si>
    <t xml:space="preserve">Bi-Annual</t>
  </si>
  <si>
    <t xml:space="preserve">2.5</t>
  </si>
  <si>
    <t xml:space="preserve">Bundle price</t>
  </si>
  <si>
    <t xml:space="preserve">PM-R05</t>
  </si>
  <si>
    <t xml:space="preserve">Res. Mini-Split Tune-Up — Single Zone</t>
  </si>
  <si>
    <t xml:space="preserve">Mini-Split — Res.</t>
  </si>
  <si>
    <t xml:space="preserve">Filter clean incl.</t>
  </si>
  <si>
    <t xml:space="preserve">PM-R06</t>
  </si>
  <si>
    <t xml:space="preserve">Res. Mini-Split Tune-Up — Multi-Zone (up to 4)</t>
  </si>
  <si>
    <t xml:space="preserve">  ▶  COMMERCIAL — ROOFTOP UNITS (RTU)</t>
  </si>
  <si>
    <t xml:space="preserve">PM-C01</t>
  </si>
  <si>
    <t xml:space="preserve">RTU PM — up to 5 Tons</t>
  </si>
  <si>
    <t xml:space="preserve">RTU — Commercial</t>
  </si>
  <si>
    <t xml:space="preserve">Quarterly</t>
  </si>
  <si>
    <t xml:space="preserve">PM-C02</t>
  </si>
  <si>
    <t xml:space="preserve">RTU PM — 5 to 10 Tons</t>
  </si>
  <si>
    <t xml:space="preserve">PM-C03</t>
  </si>
  <si>
    <t xml:space="preserve">RTU PM — 10 to 20 Tons</t>
  </si>
  <si>
    <t xml:space="preserve">PM-C04</t>
  </si>
  <si>
    <t xml:space="preserve">RTU PM — 20 to 30 Tons</t>
  </si>
  <si>
    <t xml:space="preserve">4.0</t>
  </si>
  <si>
    <t xml:space="preserve">PM-C05</t>
  </si>
  <si>
    <t xml:space="preserve">RTU PM — 30+ Tons (per ton over 30)</t>
  </si>
  <si>
    <t xml:space="preserve">0.1</t>
  </si>
  <si>
    <t xml:space="preserve">Add-on rate</t>
  </si>
  <si>
    <t xml:space="preserve">PM-C06</t>
  </si>
  <si>
    <t xml:space="preserve">RTU Annual Comprehensive PM</t>
  </si>
  <si>
    <t xml:space="preserve">5.0</t>
  </si>
  <si>
    <t xml:space="preserve">Full report incl.</t>
  </si>
  <si>
    <t xml:space="preserve">  ▶  COMMERCIAL — AIR HANDLING UNITS (AHU)</t>
  </si>
  <si>
    <t xml:space="preserve">PM-A01</t>
  </si>
  <si>
    <t xml:space="preserve">AHU PM — up to 2,000 CFM</t>
  </si>
  <si>
    <t xml:space="preserve">AHU — Commercial</t>
  </si>
  <si>
    <t xml:space="preserve">PM-A02</t>
  </si>
  <si>
    <t xml:space="preserve">AHU PM — 2,000–5,000 CFM</t>
  </si>
  <si>
    <t xml:space="preserve">PM-A03</t>
  </si>
  <si>
    <t xml:space="preserve">AHU PM — 5,000–10,000 CFM</t>
  </si>
  <si>
    <t xml:space="preserve">PM-A04</t>
  </si>
  <si>
    <t xml:space="preserve">AHU PM — 10,000+ CFM</t>
  </si>
  <si>
    <t xml:space="preserve">Per scope</t>
  </si>
  <si>
    <t xml:space="preserve">PM-A05</t>
  </si>
  <si>
    <t xml:space="preserve">AHU Belt / Sheave Inspection &amp; Lube</t>
  </si>
  <si>
    <t xml:space="preserve">Add-on</t>
  </si>
  <si>
    <t xml:space="preserve">PM-A06</t>
  </si>
  <si>
    <t xml:space="preserve">AHU Coil Cleaning — Evaporator</t>
  </si>
  <si>
    <t xml:space="preserve">Chemical wash</t>
  </si>
  <si>
    <t xml:space="preserve">PM-A07</t>
  </si>
  <si>
    <t xml:space="preserve">AHU Coil Cleaning — Condenser</t>
  </si>
  <si>
    <t xml:space="preserve">  ▶  REFRIGERATION &amp; SPECIALTY</t>
  </si>
  <si>
    <t xml:space="preserve">PM-RF1</t>
  </si>
  <si>
    <t xml:space="preserve">Walk-In Cooler PM</t>
  </si>
  <si>
    <t xml:space="preserve">Refrigeration</t>
  </si>
  <si>
    <t xml:space="preserve">PM-RF2</t>
  </si>
  <si>
    <t xml:space="preserve">Walk-In Freezer PM</t>
  </si>
  <si>
    <t xml:space="preserve">PM-RF3</t>
  </si>
  <si>
    <t xml:space="preserve">Reach-In / Display Case PM</t>
  </si>
  <si>
    <t xml:space="preserve">Per unit</t>
  </si>
  <si>
    <t xml:space="preserve">PM-RF4</t>
  </si>
  <si>
    <t xml:space="preserve">Chiller PM — up to 20 Tons</t>
  </si>
  <si>
    <t xml:space="preserve">Chiller</t>
  </si>
  <si>
    <t xml:space="preserve">Semi-Annual</t>
  </si>
  <si>
    <t xml:space="preserve">PM-RF5</t>
  </si>
  <si>
    <t xml:space="preserve">Chiller PM — 20–100 Tons</t>
  </si>
  <si>
    <t xml:space="preserve">6.0</t>
  </si>
  <si>
    <t xml:space="preserve">  🔧  REPAIR SERVICES — FLAT RATE LABOR PRICING</t>
  </si>
  <si>
    <t xml:space="preserve">Repair Description</t>
  </si>
  <si>
    <t xml:space="preserve">System / Category</t>
  </si>
  <si>
    <t xml:space="preserve">  ▶  ELECTRICAL COMPONENTS</t>
  </si>
  <si>
    <t xml:space="preserve">REP-E01</t>
  </si>
  <si>
    <t xml:space="preserve">Contactor — Replace</t>
  </si>
  <si>
    <t xml:space="preserve">Electrical</t>
  </si>
  <si>
    <t xml:space="preserve">REP-E02</t>
  </si>
  <si>
    <t xml:space="preserve">Capacitor (Run or Start) — Replace</t>
  </si>
  <si>
    <t xml:space="preserve">REP-E03</t>
  </si>
  <si>
    <t xml:space="preserve">Capacitor (Dual-Run) — Replace</t>
  </si>
  <si>
    <t xml:space="preserve">REP-E04</t>
  </si>
  <si>
    <t xml:space="preserve">Transformer (24V Control) — Replace</t>
  </si>
  <si>
    <t xml:space="preserve">REP-E05</t>
  </si>
  <si>
    <t xml:space="preserve">Disconnect / Fuse Block — Replace</t>
  </si>
  <si>
    <t xml:space="preserve">REP-E06</t>
  </si>
  <si>
    <t xml:space="preserve">Thermostat (Programmable) — Replace</t>
  </si>
  <si>
    <t xml:space="preserve">REP-E07</t>
  </si>
  <si>
    <t xml:space="preserve">Thermostat (Smart/WiFi) — Replace &amp; Program</t>
  </si>
  <si>
    <t xml:space="preserve">REP-E08</t>
  </si>
  <si>
    <t xml:space="preserve">Control Board — Replace</t>
  </si>
  <si>
    <t xml:space="preserve">REP-E09</t>
  </si>
  <si>
    <t xml:space="preserve">Relay — Replace</t>
  </si>
  <si>
    <t xml:space="preserve">REP-E10</t>
  </si>
  <si>
    <t xml:space="preserve">Reversing Valve — Replace (HP)</t>
  </si>
  <si>
    <t xml:space="preserve">Includes refrigerant recovery</t>
  </si>
  <si>
    <t xml:space="preserve">  ▶  MOTORS &amp; DRIVES</t>
  </si>
  <si>
    <t xml:space="preserve">REP-M01</t>
  </si>
  <si>
    <t xml:space="preserve">Condenser Fan Motor — Replace</t>
  </si>
  <si>
    <t xml:space="preserve">Motor</t>
  </si>
  <si>
    <t xml:space="preserve">REP-M02</t>
  </si>
  <si>
    <t xml:space="preserve">Evaporator / Indoor Fan Motor — Replace</t>
  </si>
  <si>
    <t xml:space="preserve">REP-M03</t>
  </si>
  <si>
    <t xml:space="preserve">Draft Inducer Motor — Replace</t>
  </si>
  <si>
    <t xml:space="preserve">REP-M04</t>
  </si>
  <si>
    <t xml:space="preserve">Blower Motor (PSC) — Replace</t>
  </si>
  <si>
    <t xml:space="preserve">REP-M05</t>
  </si>
  <si>
    <t xml:space="preserve">Blower Motor (ECM) — Replace &amp; Program</t>
  </si>
  <si>
    <t xml:space="preserve">REP-M06</t>
  </si>
  <si>
    <t xml:space="preserve">Fan Blade — Replace (condenser)</t>
  </si>
  <si>
    <t xml:space="preserve">0.75</t>
  </si>
  <si>
    <t xml:space="preserve">REP-M07</t>
  </si>
  <si>
    <t xml:space="preserve">Belt / Sheave — Replace (AHU)</t>
  </si>
  <si>
    <t xml:space="preserve">REP-M08</t>
  </si>
  <si>
    <t xml:space="preserve">VFD — Replace &amp; Program</t>
  </si>
  <si>
    <t xml:space="preserve">  ▶  REFRIGERANT SYSTEM</t>
  </si>
  <si>
    <t xml:space="preserve">REP-RF1</t>
  </si>
  <si>
    <t xml:space="preserve">Refrigerant Recovery</t>
  </si>
  <si>
    <t xml:space="preserve">Refrigerant</t>
  </si>
  <si>
    <t xml:space="preserve">Per Call</t>
  </si>
  <si>
    <t xml:space="preserve">REP-RF2</t>
  </si>
  <si>
    <t xml:space="preserve">Refrigerant Recharge — R-410A (per lb)</t>
  </si>
  <si>
    <t xml:space="preserve">Per Lb</t>
  </si>
  <si>
    <t xml:space="preserve">0.25</t>
  </si>
  <si>
    <t xml:space="preserve">REP-RF3</t>
  </si>
  <si>
    <t xml:space="preserve">Refrigerant Recharge — R-22 (per lb)</t>
  </si>
  <si>
    <t xml:space="preserve">R-22 premium cost</t>
  </si>
  <si>
    <t xml:space="preserve">REP-RF4</t>
  </si>
  <si>
    <t xml:space="preserve">Refrigerant Recharge — R-32 (per lb)</t>
  </si>
  <si>
    <t xml:space="preserve">REP-RF5</t>
  </si>
  <si>
    <t xml:space="preserve">TXV / Metering Device — Replace</t>
  </si>
  <si>
    <t xml:space="preserve">Includes recovery/recharge</t>
  </si>
  <si>
    <t xml:space="preserve">REP-RF6</t>
  </si>
  <si>
    <t xml:space="preserve">Filter Drier — Replace</t>
  </si>
  <si>
    <t xml:space="preserve">REP-RF7</t>
  </si>
  <si>
    <t xml:space="preserve">Schrader Valve — Replace</t>
  </si>
  <si>
    <t xml:space="preserve">REP-RF8</t>
  </si>
  <si>
    <t xml:space="preserve">Line Set — Install (per linear ft)</t>
  </si>
  <si>
    <t xml:space="preserve">Per LF</t>
  </si>
  <si>
    <t xml:space="preserve">REP-RF9</t>
  </si>
  <si>
    <t xml:space="preserve">Leak Repair (minor — accessible)</t>
  </si>
  <si>
    <t xml:space="preserve">REP-RF10</t>
  </si>
  <si>
    <t xml:space="preserve">Leak Repair (major — brazed joints)</t>
  </si>
  <si>
    <t xml:space="preserve">  ▶  HEATING COMPONENTS</t>
  </si>
  <si>
    <t xml:space="preserve">REP-H01</t>
  </si>
  <si>
    <t xml:space="preserve">Igniter (Hot Surface) — Replace</t>
  </si>
  <si>
    <t xml:space="preserve">Heating</t>
  </si>
  <si>
    <t xml:space="preserve">REP-H02</t>
  </si>
  <si>
    <t xml:space="preserve">Flame Sensor — Replace / Clean</t>
  </si>
  <si>
    <t xml:space="preserve">REP-H03</t>
  </si>
  <si>
    <t xml:space="preserve">Gas Valve — Replace</t>
  </si>
  <si>
    <t xml:space="preserve">REP-H04</t>
  </si>
  <si>
    <t xml:space="preserve">Heat Exchanger — Inspect / Report</t>
  </si>
  <si>
    <t xml:space="preserve">Written report</t>
  </si>
  <si>
    <t xml:space="preserve">REP-H05</t>
  </si>
  <si>
    <t xml:space="preserve">Heat Exchanger — Replace (per section)</t>
  </si>
  <si>
    <t xml:space="preserve">REP-H06</t>
  </si>
  <si>
    <t xml:space="preserve">Flue Pipe Repair / Resealing</t>
  </si>
  <si>
    <t xml:space="preserve">REP-H07</t>
  </si>
  <si>
    <t xml:space="preserve">Pressure Switch — Replace</t>
  </si>
  <si>
    <t xml:space="preserve">REP-H08</t>
  </si>
  <si>
    <t xml:space="preserve">Limit Switch / Rollout — Replace</t>
  </si>
  <si>
    <t xml:space="preserve">REP-H09</t>
  </si>
  <si>
    <t xml:space="preserve">Electric Heating Element — Replace</t>
  </si>
  <si>
    <t xml:space="preserve">REP-H10</t>
  </si>
  <si>
    <t xml:space="preserve">Condensate Pump — Replace</t>
  </si>
  <si>
    <t xml:space="preserve">  ▶  COILS &amp; DUCTWORK</t>
  </si>
  <si>
    <t xml:space="preserve">REP-D01</t>
  </si>
  <si>
    <t xml:space="preserve">Evaporator Coil — Replace (residential)</t>
  </si>
  <si>
    <t xml:space="preserve">Coil</t>
  </si>
  <si>
    <t xml:space="preserve">REP-D02</t>
  </si>
  <si>
    <t xml:space="preserve">Condenser Coil — Replace (residential)</t>
  </si>
  <si>
    <t xml:space="preserve">REP-D03</t>
  </si>
  <si>
    <t xml:space="preserve">Evaporator Coil — Chemical Clean</t>
  </si>
  <si>
    <t xml:space="preserve">REP-D04</t>
  </si>
  <si>
    <t xml:space="preserve">Duct Repair — Flex Duct (per LF)</t>
  </si>
  <si>
    <t xml:space="preserve">Ductwork</t>
  </si>
  <si>
    <t xml:space="preserve">REP-D05</t>
  </si>
  <si>
    <t xml:space="preserve">Duct Repair — Sheet Metal (per LF)</t>
  </si>
  <si>
    <t xml:space="preserve">REP-D06</t>
  </si>
  <si>
    <t xml:space="preserve">Duct Seal / Mastic Application</t>
  </si>
  <si>
    <t xml:space="preserve">REP-D07</t>
  </si>
  <si>
    <t xml:space="preserve">Grille / Register — Replace (per unit)</t>
  </si>
  <si>
    <t xml:space="preserve">REP-D08</t>
  </si>
  <si>
    <t xml:space="preserve">Damper (Manual Balancing) — Replace</t>
  </si>
  <si>
    <t xml:space="preserve">  🏗️  EQUIPMENT INSTALLATION — LABOR PRICING</t>
  </si>
  <si>
    <t xml:space="preserve">Installation Description</t>
  </si>
  <si>
    <t xml:space="preserve">Permit / Misc ($)</t>
  </si>
  <si>
    <t xml:space="preserve">Crane / Rigging ($)</t>
  </si>
  <si>
    <t xml:space="preserve">Flat Rate Labor ($)</t>
  </si>
  <si>
    <t xml:space="preserve">  ▶  RESIDENTIAL SPLIT SYSTEMS</t>
  </si>
  <si>
    <t xml:space="preserve">INS-R01</t>
  </si>
  <si>
    <t xml:space="preserve">Split System — Replace Outdoor Unit Only</t>
  </si>
  <si>
    <t xml:space="preserve">Res. Split</t>
  </si>
  <si>
    <t xml:space="preserve">Incl. vacuum &amp; charge</t>
  </si>
  <si>
    <t xml:space="preserve">INS-R02</t>
  </si>
  <si>
    <t xml:space="preserve">Split System — Replace Indoor Coil Only</t>
  </si>
  <si>
    <t xml:space="preserve">INS-R03</t>
  </si>
  <si>
    <t xml:space="preserve">Split System — Replace Full System (up to 5T)</t>
  </si>
  <si>
    <t xml:space="preserve">8.0</t>
  </si>
  <si>
    <t xml:space="preserve">INS-R04</t>
  </si>
  <si>
    <t xml:space="preserve">Gas Furnace — Replace (90%+ AFUE)</t>
  </si>
  <si>
    <t xml:space="preserve">Res. Furnace</t>
  </si>
  <si>
    <t xml:space="preserve">INS-R05</t>
  </si>
  <si>
    <t xml:space="preserve">Gas Furnace — Replace (80% AFUE)</t>
  </si>
  <si>
    <t xml:space="preserve">INS-R06</t>
  </si>
  <si>
    <t xml:space="preserve">Heat Pump — Replace Full System (up to 5T)</t>
  </si>
  <si>
    <t xml:space="preserve">Res. Heat Pump</t>
  </si>
  <si>
    <t xml:space="preserve">INS-R07</t>
  </si>
  <si>
    <t xml:space="preserve">Mini-Split — Install Single Zone</t>
  </si>
  <si>
    <t xml:space="preserve">Mini-Split</t>
  </si>
  <si>
    <t xml:space="preserve">Incl. line set &amp; commissioning</t>
  </si>
  <si>
    <t xml:space="preserve">INS-R08</t>
  </si>
  <si>
    <t xml:space="preserve">Mini-Split — Install Additional Zone (add-on)</t>
  </si>
  <si>
    <t xml:space="preserve">INS-R09</t>
  </si>
  <si>
    <t xml:space="preserve">Air Handler — Replace</t>
  </si>
  <si>
    <t xml:space="preserve">Res. AHU</t>
  </si>
  <si>
    <t xml:space="preserve">INS-R10</t>
  </si>
  <si>
    <t xml:space="preserve">Package Unit (Res.) — Replace</t>
  </si>
  <si>
    <t xml:space="preserve">Res. Package</t>
  </si>
  <si>
    <t xml:space="preserve">  ▶  COMMERCIAL ROOFTOP UNITS (RTU)</t>
  </si>
  <si>
    <t xml:space="preserve">INS-C01</t>
  </si>
  <si>
    <t xml:space="preserve">RTU — Replace up to 5 Tons</t>
  </si>
  <si>
    <t xml:space="preserve">RTU</t>
  </si>
  <si>
    <t xml:space="preserve">Crane if required</t>
  </si>
  <si>
    <t xml:space="preserve">INS-C02</t>
  </si>
  <si>
    <t xml:space="preserve">RTU — Replace 5–10 Tons</t>
  </si>
  <si>
    <t xml:space="preserve">10.0</t>
  </si>
  <si>
    <t xml:space="preserve">INS-C03</t>
  </si>
  <si>
    <t xml:space="preserve">RTU — Replace 10–20 Tons</t>
  </si>
  <si>
    <t xml:space="preserve">14.0</t>
  </si>
  <si>
    <t xml:space="preserve">Crane typically required</t>
  </si>
  <si>
    <t xml:space="preserve">INS-C04</t>
  </si>
  <si>
    <t xml:space="preserve">RTU — Replace 20–30 Tons</t>
  </si>
  <si>
    <t xml:space="preserve">18.0</t>
  </si>
  <si>
    <t xml:space="preserve">INS-C05</t>
  </si>
  <si>
    <t xml:space="preserve">RTU — Replace 30+ Tons (per add'l ton)</t>
  </si>
  <si>
    <t xml:space="preserve">Per Ton</t>
  </si>
  <si>
    <t xml:space="preserve">Add-on above 30T</t>
  </si>
  <si>
    <t xml:space="preserve">INS-C06</t>
  </si>
  <si>
    <t xml:space="preserve">Curb Adapter — Install</t>
  </si>
  <si>
    <t xml:space="preserve">INS-C07</t>
  </si>
  <si>
    <t xml:space="preserve">Economizer — Install / Replace</t>
  </si>
  <si>
    <t xml:space="preserve">INS-C08</t>
  </si>
  <si>
    <t xml:space="preserve">Exhaust Fan — Install (up to 2,000 CFM)</t>
  </si>
  <si>
    <t xml:space="preserve">Exhaust</t>
  </si>
  <si>
    <t xml:space="preserve">INS-C09</t>
  </si>
  <si>
    <t xml:space="preserve">Exhaust Fan — Install (2,000–5,000 CFM)</t>
  </si>
  <si>
    <t xml:space="preserve">INS-C10</t>
  </si>
  <si>
    <t xml:space="preserve">Make-Up Air Unit — Install</t>
  </si>
  <si>
    <t xml:space="preserve">MAU</t>
  </si>
  <si>
    <t xml:space="preserve">  ▶  AIR DISTRIBUTION &amp; CONTROLS</t>
  </si>
  <si>
    <t xml:space="preserve">INS-D01</t>
  </si>
  <si>
    <t xml:space="preserve">Ductwork — New Install (per LF flex)</t>
  </si>
  <si>
    <t xml:space="preserve">0.2</t>
  </si>
  <si>
    <t xml:space="preserve">INS-D02</t>
  </si>
  <si>
    <t xml:space="preserve">Ductwork — New Install (per LF sheet metal)</t>
  </si>
  <si>
    <t xml:space="preserve">0.4</t>
  </si>
  <si>
    <t xml:space="preserve">INS-D03</t>
  </si>
  <si>
    <t xml:space="preserve">Supply / Return Register — Install (per unit)</t>
  </si>
  <si>
    <t xml:space="preserve">INS-D04</t>
  </si>
  <si>
    <t xml:space="preserve">Diffuser — Install (per unit)</t>
  </si>
  <si>
    <t xml:space="preserve">INS-D05</t>
  </si>
  <si>
    <t xml:space="preserve">Zone Damper — Install (motorized)</t>
  </si>
  <si>
    <t xml:space="preserve">Controls</t>
  </si>
  <si>
    <t xml:space="preserve">INS-D06</t>
  </si>
  <si>
    <t xml:space="preserve">Zoning Panel / Controller — Install</t>
  </si>
  <si>
    <t xml:space="preserve">INS-D07</t>
  </si>
  <si>
    <t xml:space="preserve">Thermostat — Install &amp; Program</t>
  </si>
  <si>
    <t xml:space="preserve">INS-D08</t>
  </si>
  <si>
    <t xml:space="preserve">BAS / DDC Point — Install &amp; Commission</t>
  </si>
  <si>
    <t xml:space="preserve">Per Point</t>
  </si>
  <si>
    <t xml:space="preserve">INS-D09</t>
  </si>
  <si>
    <t xml:space="preserve">Line Set (per LF installed)</t>
  </si>
  <si>
    <t xml:space="preserve">INS-D10</t>
  </si>
  <si>
    <t xml:space="preserve">Condensate Line (per LF)</t>
  </si>
  <si>
    <t xml:space="preserve">Plumbing</t>
  </si>
  <si>
    <t xml:space="preserve">0.15</t>
  </si>
  <si>
    <t xml:space="preserve">  📦  MATERIALS &amp; PARTS PRICING</t>
  </si>
  <si>
    <t xml:space="preserve">Part # / SKU</t>
  </si>
  <si>
    <t xml:space="preserve">Part Description</t>
  </si>
  <si>
    <t xml:space="preserve">Distributor Cost ($)</t>
  </si>
  <si>
    <t xml:space="preserve">Markup %</t>
  </si>
  <si>
    <t xml:space="preserve">Sell Price ($)</t>
  </si>
  <si>
    <t xml:space="preserve">Preferred Supplier</t>
  </si>
  <si>
    <t xml:space="preserve">  ▶  FILTERS</t>
  </si>
  <si>
    <t xml:space="preserve">FLT-001</t>
  </si>
  <si>
    <t xml:space="preserve">1" Fiberglass Filter (std sizes)</t>
  </si>
  <si>
    <t xml:space="preserve">Filter</t>
  </si>
  <si>
    <t xml:space="preserve">FLT-002</t>
  </si>
  <si>
    <t xml:space="preserve">1" Pleated Filter — MERV 8</t>
  </si>
  <si>
    <t xml:space="preserve">FLT-003</t>
  </si>
  <si>
    <t xml:space="preserve">2" Pleated Filter — MERV 11</t>
  </si>
  <si>
    <t xml:space="preserve">FLT-004</t>
  </si>
  <si>
    <t xml:space="preserve">4" Media Filter — MERV 13</t>
  </si>
  <si>
    <t xml:space="preserve">FLT-005</t>
  </si>
  <si>
    <t xml:space="preserve">HEPA Filter (residential)</t>
  </si>
  <si>
    <t xml:space="preserve">FLT-006</t>
  </si>
  <si>
    <t xml:space="preserve">Electronic Air Cleaner Cell</t>
  </si>
  <si>
    <t xml:space="preserve">  ▶  CAPACITORS &amp; CONTACTORS</t>
  </si>
  <si>
    <t xml:space="preserve">CAP-001</t>
  </si>
  <si>
    <t xml:space="preserve">Run Capacitor — 5–40 MFD</t>
  </si>
  <si>
    <t xml:space="preserve">Stock item</t>
  </si>
  <si>
    <t xml:space="preserve">CAP-002</t>
  </si>
  <si>
    <t xml:space="preserve">Dual-Run Capacitor — 45+5 MFD</t>
  </si>
  <si>
    <t xml:space="preserve">CAP-003</t>
  </si>
  <si>
    <t xml:space="preserve">Start Capacitor — 88–108 MFD</t>
  </si>
  <si>
    <t xml:space="preserve">CON-001</t>
  </si>
  <si>
    <t xml:space="preserve">Contactor — Single Pole</t>
  </si>
  <si>
    <t xml:space="preserve">CON-002</t>
  </si>
  <si>
    <t xml:space="preserve">Contactor — Double Pole</t>
  </si>
  <si>
    <t xml:space="preserve">CON-003</t>
  </si>
  <si>
    <t xml:space="preserve">Time-Delay Relay</t>
  </si>
  <si>
    <t xml:space="preserve">  ▶  REFRIGERANT (per lb)</t>
  </si>
  <si>
    <t xml:space="preserve">REF-R410</t>
  </si>
  <si>
    <t xml:space="preserve">R-410A Refrigerant (per lb)</t>
  </si>
  <si>
    <t xml:space="preserve">EPA 608 required</t>
  </si>
  <si>
    <t xml:space="preserve">REF-R22</t>
  </si>
  <si>
    <t xml:space="preserve">R-22 Refrigerant (per lb)</t>
  </si>
  <si>
    <t xml:space="preserve">Reclaimed only</t>
  </si>
  <si>
    <t xml:space="preserve">REF-R32</t>
  </si>
  <si>
    <t xml:space="preserve">R-32 Refrigerant (per lb)</t>
  </si>
  <si>
    <t xml:space="preserve">REF-R454B</t>
  </si>
  <si>
    <t xml:space="preserve">R-454B Refrigerant (per lb)</t>
  </si>
  <si>
    <t xml:space="preserve">New std. for AC</t>
  </si>
  <si>
    <t xml:space="preserve">REF-R407C</t>
  </si>
  <si>
    <t xml:space="preserve">R-407C Refrigerant (per lb)</t>
  </si>
  <si>
    <t xml:space="preserve">REF-NITRO</t>
  </si>
  <si>
    <t xml:space="preserve">Nitrogen (per cylinder)</t>
  </si>
  <si>
    <t xml:space="preserve">Cylinder</t>
  </si>
  <si>
    <t xml:space="preserve">For pressure testing</t>
  </si>
  <si>
    <t xml:space="preserve">  ▶  MOTORS</t>
  </si>
  <si>
    <t xml:space="preserve">MOT-001</t>
  </si>
  <si>
    <t xml:space="preserve">Condenser Fan Motor — 1/5 HP</t>
  </si>
  <si>
    <t xml:space="preserve">MOT-002</t>
  </si>
  <si>
    <t xml:space="preserve">Condenser Fan Motor — 1/3 HP</t>
  </si>
  <si>
    <t xml:space="preserve">MOT-003</t>
  </si>
  <si>
    <t xml:space="preserve">Condenser Fan Motor — 1/2 HP</t>
  </si>
  <si>
    <t xml:space="preserve">MOT-004</t>
  </si>
  <si>
    <t xml:space="preserve">Blower Motor (PSC) — 1/3 HP</t>
  </si>
  <si>
    <t xml:space="preserve">MOT-005</t>
  </si>
  <si>
    <t xml:space="preserve">Blower Motor (ECM) — Universal</t>
  </si>
  <si>
    <t xml:space="preserve">Prog. required</t>
  </si>
  <si>
    <t xml:space="preserve">MOT-006</t>
  </si>
  <si>
    <t xml:space="preserve">Draft Inducer Motor</t>
  </si>
  <si>
    <t xml:space="preserve">  ▶  CONTROLS &amp; THERMOSTATS</t>
  </si>
  <si>
    <t xml:space="preserve">CTL-001</t>
  </si>
  <si>
    <t xml:space="preserve">Thermostat — 7-Day Programmable</t>
  </si>
  <si>
    <t xml:space="preserve">CTL-002</t>
  </si>
  <si>
    <t xml:space="preserve">Thermostat — Smart WiFi (standard)</t>
  </si>
  <si>
    <t xml:space="preserve">CTL-003</t>
  </si>
  <si>
    <t xml:space="preserve">Thermostat — Smart WiFi (premium)</t>
  </si>
  <si>
    <t xml:space="preserve">CTL-004</t>
  </si>
  <si>
    <t xml:space="preserve">Control Board — Universal</t>
  </si>
  <si>
    <t xml:space="preserve">OEM preferred</t>
  </si>
  <si>
    <t xml:space="preserve">CTL-005</t>
  </si>
  <si>
    <t xml:space="preserve">Transformer — 40VA 24V</t>
  </si>
  <si>
    <t xml:space="preserve">CTL-006</t>
  </si>
  <si>
    <t xml:space="preserve">Pressure Switch (High or Low)</t>
  </si>
  <si>
    <t xml:space="preserve">FLAT-RATE PRICE CALCULATOR</t>
  </si>
  <si>
    <t xml:space="preserve">  ⚙️  RATE ASSUMPTIONS (Edit Yellow Cells)</t>
  </si>
  <si>
    <t xml:space="preserve">Overhead Rate (%):</t>
  </si>
  <si>
    <t xml:space="preserve">Profit Margin (%):</t>
  </si>
  <si>
    <t xml:space="preserve">Material Markup (%):</t>
  </si>
  <si>
    <t xml:space="preserve">Sales Tax Rate (%):</t>
  </si>
  <si>
    <t xml:space="preserve">  🧮  FLAT-RATE PRICE BUILD-UP TABLE</t>
  </si>
  <si>
    <t xml:space="preserve">Line Item</t>
  </si>
  <si>
    <t xml:space="preserve">Description</t>
  </si>
  <si>
    <t xml:space="preserve">Qty</t>
  </si>
  <si>
    <t xml:space="preserve">Material Cost ($)</t>
  </si>
  <si>
    <t xml:space="preserve">Overhead ($)</t>
  </si>
  <si>
    <t xml:space="preserve">Profit ($)</t>
  </si>
  <si>
    <t xml:space="preserve">Line Total ($)</t>
  </si>
  <si>
    <t xml:space="preserve">SUBTOTALS</t>
  </si>
  <si>
    <t xml:space="preserve">Sales Tax (on Materials):</t>
  </si>
  <si>
    <t xml:space="preserve">TOTAL FLAT-RATE PRICE:</t>
  </si>
  <si>
    <t xml:space="preserve">  📄  SERVICE AGREEMENT PLANS &amp; PRICING</t>
  </si>
  <si>
    <t xml:space="preserve">Plan Code</t>
  </si>
  <si>
    <t xml:space="preserve">Plan Name / Description</t>
  </si>
  <si>
    <t xml:space="preserve"># Units</t>
  </si>
  <si>
    <t xml:space="preserve">Visits/Yr</t>
  </si>
  <si>
    <t xml:space="preserve">Annual Price ($)</t>
  </si>
  <si>
    <t xml:space="preserve">Monthly Price ($)</t>
  </si>
  <si>
    <t xml:space="preserve">Discount vs. T&amp;M</t>
  </si>
  <si>
    <t xml:space="preserve">Includes</t>
  </si>
  <si>
    <t xml:space="preserve">  ▶  RESIDENTIAL PLANS</t>
  </si>
  <si>
    <t xml:space="preserve">AGR-R01</t>
  </si>
  <si>
    <t xml:space="preserve">Basic Residential Plan — 1 System</t>
  </si>
  <si>
    <t xml:space="preserve">1</t>
  </si>
  <si>
    <t xml:space="preserve">10%</t>
  </si>
  <si>
    <t xml:space="preserve">Annual tune-up + priority scheduling</t>
  </si>
  <si>
    <t xml:space="preserve">AGR-R02</t>
  </si>
  <si>
    <t xml:space="preserve">Standard Residential Plan — 1 System</t>
  </si>
  <si>
    <t xml:space="preserve">2</t>
  </si>
  <si>
    <t xml:space="preserve">15%</t>
  </si>
  <si>
    <t xml:space="preserve">Spring + Fall tune-up, 15% parts disc.</t>
  </si>
  <si>
    <t xml:space="preserve">AGR-R03</t>
  </si>
  <si>
    <t xml:space="preserve">Premium Residential Plan — 1 System</t>
  </si>
  <si>
    <t xml:space="preserve">20%</t>
  </si>
  <si>
    <t xml:space="preserve">2 tune-ups, 20% parts disc., no trip chg</t>
  </si>
  <si>
    <t xml:space="preserve">AGR-R04</t>
  </si>
  <si>
    <t xml:space="preserve">Residential Plan — 2 Systems</t>
  </si>
  <si>
    <t xml:space="preserve">Same as Premium × 2</t>
  </si>
  <si>
    <t xml:space="preserve">AGR-R05</t>
  </si>
  <si>
    <t xml:space="preserve">Residential Heat-Only Plan (Furnace)</t>
  </si>
  <si>
    <t xml:space="preserve">Annual heating tune-up</t>
  </si>
  <si>
    <t xml:space="preserve">AGR-R06</t>
  </si>
  <si>
    <t xml:space="preserve">Mini-Split Residential Plan</t>
  </si>
  <si>
    <t xml:space="preserve">Clean coil, check charge, inspect</t>
  </si>
  <si>
    <t xml:space="preserve">  ▶  LIGHT COMMERCIAL PLANS</t>
  </si>
  <si>
    <t xml:space="preserve">AGR-C01</t>
  </si>
  <si>
    <t xml:space="preserve">Light Comm. Plan — 1 RTU (up to 5T)</t>
  </si>
  <si>
    <t xml:space="preserve">4</t>
  </si>
  <si>
    <t xml:space="preserve">Quarterly PM, filter incl.</t>
  </si>
  <si>
    <t xml:space="preserve">AGR-C02</t>
  </si>
  <si>
    <t xml:space="preserve">Light Comm. Plan — 2 RTU</t>
  </si>
  <si>
    <t xml:space="preserve">18%</t>
  </si>
  <si>
    <t xml:space="preserve">Quarterly PM both units</t>
  </si>
  <si>
    <t xml:space="preserve">AGR-C03</t>
  </si>
  <si>
    <t xml:space="preserve">Light Comm. Plan — 3–5 RTU (per unit)</t>
  </si>
  <si>
    <t xml:space="preserve">Quarterly PM + annual report</t>
  </si>
  <si>
    <t xml:space="preserve">Per unit price</t>
  </si>
  <si>
    <t xml:space="preserve">AGR-C04</t>
  </si>
  <si>
    <t xml:space="preserve">Light Comm. Full-Service — 1 RTU</t>
  </si>
  <si>
    <t xml:space="preserve">25%</t>
  </si>
  <si>
    <t xml:space="preserve">PM + priority + 25% parts disc.</t>
  </si>
  <si>
    <t xml:space="preserve">  ▶  COMMERCIAL PLANS</t>
  </si>
  <si>
    <t xml:space="preserve">AGR-M01</t>
  </si>
  <si>
    <t xml:space="preserve">Commercial PM Plan — AHU (per unit)</t>
  </si>
  <si>
    <t xml:space="preserve">AHU</t>
  </si>
  <si>
    <t xml:space="preserve">Quarterly PM + T&amp;B report</t>
  </si>
  <si>
    <t xml:space="preserve">AGR-M02</t>
  </si>
  <si>
    <t xml:space="preserve">Commercial Full-Service Plan (per unit)</t>
  </si>
  <si>
    <t xml:space="preserve">12</t>
  </si>
  <si>
    <t xml:space="preserve">Monthly visits + emergency coverage</t>
  </si>
  <si>
    <t xml:space="preserve">AGR-M03</t>
  </si>
  <si>
    <t xml:space="preserve">Refrigeration PM Plan (per unit)</t>
  </si>
  <si>
    <t xml:space="preserve">Quarterly PM cooler/freezer</t>
  </si>
  <si>
    <t xml:space="preserve">AGR-M04</t>
  </si>
  <si>
    <t xml:space="preserve">Custom Commercial Plan</t>
  </si>
  <si>
    <t xml:space="preserve">Commercial</t>
  </si>
  <si>
    <t xml:space="preserve">TBD</t>
  </si>
  <si>
    <t xml:space="preserve">Negotiated</t>
  </si>
  <si>
    <t xml:space="preserve">Per scope of work</t>
  </si>
  <si>
    <t xml:space="preserve">Quote required</t>
  </si>
  <si>
    <t xml:space="preserve">  📊  MARGIN &amp; PROFITABILITY ANALYSIS</t>
  </si>
  <si>
    <t xml:space="preserve">Cost (Labor)</t>
  </si>
  <si>
    <t xml:space="preserve">Cost (Material)</t>
  </si>
  <si>
    <t xml:space="preserve">Total Cost ($)</t>
  </si>
  <si>
    <t xml:space="preserve">Gross Profit ($)</t>
  </si>
  <si>
    <t xml:space="preserve">Gross Margin %</t>
  </si>
  <si>
    <t xml:space="preserve">Status</t>
  </si>
  <si>
    <t xml:space="preserve">PORTFOLIO TOTALS / AVERAGES</t>
  </si>
  <si>
    <t xml:space="preserve">  💡  PRICING HEALTH SUMMARY</t>
  </si>
  <si>
    <t xml:space="preserve">Items at or above target margin (≥30%):</t>
  </si>
  <si>
    <t xml:space="preserve">Items below target margin (20–30%):</t>
  </si>
  <si>
    <t xml:space="preserve">Items needing price review (&lt;20%):</t>
  </si>
  <si>
    <t xml:space="preserve">Average Gross Margin — Portfolio:</t>
  </si>
  <si>
    <t xml:space="preserve">Total Revenue (Sell Price) — All Items:</t>
  </si>
  <si>
    <t xml:space="preserve">Total Gross Profit — All Items: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</si>
</sst>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22"/>
      <color rgb="FF1B3A6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1B3A6B"/>
      <name val="Arial"/>
      <family val="0"/>
      <charset val="1"/>
    </font>
    <font>
      <sz val="9"/>
      <color rgb="FF000000"/>
      <name val="Arial"/>
      <family val="0"/>
      <charset val="1"/>
    </font>
    <font>
      <sz val="8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1B3A6B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07B00"/>
        <bgColor rgb="FFFF9900"/>
      </patternFill>
    </fill>
    <fill>
      <patternFill patternType="solid">
        <fgColor rgb="FFD6E4F0"/>
        <bgColor rgb="FFF4F6F8"/>
      </patternFill>
    </fill>
    <fill>
      <patternFill patternType="solid">
        <fgColor rgb="FFFFFFFF"/>
        <bgColor rgb="FFF4F6F8"/>
      </patternFill>
    </fill>
    <fill>
      <patternFill patternType="solid">
        <fgColor rgb="FFF4F6F8"/>
        <bgColor rgb="FFFFFFFF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4F6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F4F6F8"/>
      <rgbColor rgb="FF660066"/>
      <rgbColor rgb="FFFF8080"/>
      <rgbColor rgb="FF2E6DA4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B00"/>
      <rgbColor rgb="FF555555"/>
      <rgbColor rgb="FF969696"/>
      <rgbColor rgb="FF1B3A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</row>
    <row r="2" customFormat="false" ht="7.5" hidden="false" customHeight="true" outlineLevel="0" collapsed="false"/>
    <row r="3" customFormat="false" ht="31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true" outlineLevel="0" collapsed="false">
      <c r="A6" s="5" t="s">
        <v>4</v>
      </c>
      <c r="B6" s="5"/>
      <c r="C6" s="5"/>
      <c r="D6" s="5"/>
      <c r="E6" s="5"/>
      <c r="F6" s="6"/>
      <c r="G6" s="6"/>
      <c r="H6" s="6"/>
      <c r="I6" s="5" t="s">
        <v>5</v>
      </c>
      <c r="J6" s="5"/>
      <c r="K6" s="5"/>
      <c r="L6" s="7"/>
    </row>
    <row r="7" customFormat="false" ht="15" hidden="false" customHeight="true" outlineLevel="0" collapsed="false">
      <c r="A7" s="5" t="s">
        <v>6</v>
      </c>
      <c r="B7" s="5"/>
      <c r="C7" s="5"/>
      <c r="D7" s="5"/>
      <c r="E7" s="5"/>
      <c r="F7" s="8"/>
      <c r="G7" s="8"/>
      <c r="H7" s="8"/>
      <c r="I7" s="5" t="s">
        <v>7</v>
      </c>
      <c r="J7" s="5"/>
      <c r="K7" s="5"/>
      <c r="L7" s="9"/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6"/>
      <c r="G8" s="6"/>
      <c r="H8" s="6"/>
      <c r="I8" s="5" t="s">
        <v>9</v>
      </c>
      <c r="J8" s="5"/>
      <c r="K8" s="5"/>
      <c r="L8" s="7"/>
    </row>
    <row r="9" customFormat="false" ht="15" hidden="false" customHeight="true" outlineLevel="0" collapsed="false">
      <c r="A9" s="5" t="s">
        <v>10</v>
      </c>
      <c r="B9" s="5"/>
      <c r="C9" s="5"/>
      <c r="D9" s="5"/>
      <c r="E9" s="5"/>
      <c r="F9" s="8"/>
      <c r="G9" s="8"/>
      <c r="H9" s="8"/>
      <c r="I9" s="5" t="s">
        <v>11</v>
      </c>
      <c r="J9" s="5"/>
      <c r="K9" s="5"/>
      <c r="L9" s="9"/>
    </row>
    <row r="10" customFormat="false" ht="15" hidden="false" customHeight="true" outlineLevel="0" collapsed="false">
      <c r="A10" s="5" t="s">
        <v>12</v>
      </c>
      <c r="B10" s="5"/>
      <c r="C10" s="5"/>
      <c r="D10" s="5"/>
      <c r="E10" s="5"/>
      <c r="F10" s="6"/>
      <c r="G10" s="6"/>
      <c r="H10" s="6"/>
      <c r="I10" s="5" t="s">
        <v>13</v>
      </c>
      <c r="J10" s="5"/>
      <c r="K10" s="5"/>
      <c r="L10" s="7"/>
    </row>
    <row r="11" customFormat="false" ht="15" hidden="false" customHeight="true" outlineLevel="0" collapsed="false">
      <c r="A11" s="5" t="s">
        <v>14</v>
      </c>
      <c r="B11" s="5"/>
      <c r="C11" s="5"/>
      <c r="D11" s="5"/>
      <c r="E11" s="5"/>
      <c r="F11" s="8"/>
      <c r="G11" s="8"/>
      <c r="H11" s="8"/>
      <c r="I11" s="5" t="s">
        <v>15</v>
      </c>
      <c r="J11" s="5"/>
      <c r="K11" s="5"/>
      <c r="L11" s="9"/>
    </row>
    <row r="12" customFormat="false" ht="15" hidden="false" customHeight="true" outlineLevel="0" collapsed="false">
      <c r="A12" s="5" t="s">
        <v>16</v>
      </c>
      <c r="B12" s="5"/>
      <c r="C12" s="5"/>
      <c r="D12" s="5"/>
      <c r="E12" s="5"/>
      <c r="F12" s="6"/>
      <c r="G12" s="6"/>
      <c r="H12" s="6"/>
      <c r="I12" s="5" t="s">
        <v>17</v>
      </c>
      <c r="J12" s="5"/>
      <c r="K12" s="5"/>
      <c r="L12" s="7"/>
    </row>
    <row r="13" customFormat="false" ht="4.5" hidden="false" customHeight="true" outlineLevel="0" collapsed="false"/>
    <row r="14" customFormat="false" ht="21.75" hidden="false" customHeight="true" outlineLevel="0" collapsed="false">
      <c r="A14" s="4" t="s">
        <v>18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" hidden="false" customHeight="true" outlineLevel="0" collapsed="false">
      <c r="A15" s="5" t="s">
        <v>19</v>
      </c>
      <c r="B15" s="5"/>
      <c r="C15" s="5"/>
      <c r="D15" s="5"/>
      <c r="E15" s="5"/>
      <c r="F15" s="6"/>
      <c r="G15" s="6"/>
      <c r="H15" s="6"/>
      <c r="I15" s="5" t="s">
        <v>20</v>
      </c>
      <c r="J15" s="5"/>
      <c r="K15" s="5"/>
      <c r="L15" s="7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8"/>
      <c r="G16" s="8"/>
      <c r="H16" s="8"/>
      <c r="I16" s="5" t="s">
        <v>22</v>
      </c>
      <c r="J16" s="5"/>
      <c r="K16" s="5"/>
      <c r="L16" s="9"/>
    </row>
    <row r="17" customFormat="false" ht="15" hidden="false" customHeight="true" outlineLevel="0" collapsed="false">
      <c r="A17" s="5" t="s">
        <v>23</v>
      </c>
      <c r="B17" s="5"/>
      <c r="C17" s="5"/>
      <c r="D17" s="5"/>
      <c r="E17" s="5"/>
      <c r="F17" s="6"/>
      <c r="G17" s="6"/>
      <c r="H17" s="6"/>
      <c r="I17" s="5" t="s">
        <v>24</v>
      </c>
      <c r="J17" s="5"/>
      <c r="K17" s="5"/>
      <c r="L17" s="7"/>
    </row>
    <row r="18" customFormat="false" ht="15" hidden="false" customHeight="true" outlineLevel="0" collapsed="false">
      <c r="A18" s="5" t="s">
        <v>25</v>
      </c>
      <c r="B18" s="5"/>
      <c r="C18" s="5"/>
      <c r="D18" s="5"/>
      <c r="E18" s="5"/>
      <c r="F18" s="8"/>
      <c r="G18" s="8"/>
      <c r="H18" s="8"/>
      <c r="I18" s="5" t="s">
        <v>26</v>
      </c>
      <c r="J18" s="5"/>
      <c r="K18" s="5"/>
      <c r="L18" s="9"/>
    </row>
    <row r="19" customFormat="false" ht="4.5" hidden="false" customHeight="true" outlineLevel="0" collapsed="false"/>
    <row r="20" customFormat="false" ht="21.75" hidden="false" customHeight="true" outlineLevel="0" collapsed="false">
      <c r="A20" s="4" t="s">
        <v>27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customFormat="false" ht="15" hidden="false" customHeight="true" outlineLevel="0" collapsed="false">
      <c r="A21" s="5" t="s">
        <v>28</v>
      </c>
      <c r="B21" s="5"/>
      <c r="C21" s="5"/>
      <c r="D21" s="5"/>
      <c r="E21" s="5"/>
      <c r="F21" s="6"/>
      <c r="G21" s="6"/>
      <c r="H21" s="6"/>
      <c r="I21" s="5" t="s">
        <v>29</v>
      </c>
      <c r="J21" s="5"/>
      <c r="K21" s="5"/>
      <c r="L21" s="7"/>
    </row>
    <row r="22" customFormat="false" ht="15" hidden="false" customHeight="true" outlineLevel="0" collapsed="false">
      <c r="A22" s="5" t="s">
        <v>30</v>
      </c>
      <c r="B22" s="5"/>
      <c r="C22" s="5"/>
      <c r="D22" s="5"/>
      <c r="E22" s="5"/>
      <c r="F22" s="8"/>
      <c r="G22" s="8"/>
      <c r="H22" s="8"/>
      <c r="I22" s="5" t="s">
        <v>31</v>
      </c>
      <c r="J22" s="5"/>
      <c r="K22" s="5"/>
      <c r="L22" s="9"/>
    </row>
    <row r="23" customFormat="false" ht="15" hidden="false" customHeight="true" outlineLevel="0" collapsed="false">
      <c r="A23" s="5" t="s">
        <v>32</v>
      </c>
      <c r="B23" s="5"/>
      <c r="C23" s="5"/>
      <c r="D23" s="5"/>
      <c r="E23" s="5"/>
      <c r="F23" s="6"/>
      <c r="G23" s="6"/>
      <c r="H23" s="6"/>
      <c r="I23" s="5" t="s">
        <v>33</v>
      </c>
      <c r="J23" s="5"/>
      <c r="K23" s="5"/>
      <c r="L23" s="7"/>
    </row>
    <row r="24" customFormat="false" ht="15" hidden="false" customHeight="true" outlineLevel="0" collapsed="false">
      <c r="A24" s="5" t="s">
        <v>34</v>
      </c>
      <c r="B24" s="5"/>
      <c r="C24" s="5"/>
      <c r="D24" s="5"/>
      <c r="E24" s="5"/>
      <c r="F24" s="8"/>
      <c r="G24" s="8"/>
      <c r="H24" s="8"/>
      <c r="I24" s="5" t="s">
        <v>35</v>
      </c>
      <c r="J24" s="5"/>
      <c r="K24" s="5"/>
      <c r="L24" s="9"/>
    </row>
    <row r="25" customFormat="false" ht="15" hidden="false" customHeight="true" outlineLevel="0" collapsed="false">
      <c r="A25" s="5" t="s">
        <v>36</v>
      </c>
      <c r="B25" s="5"/>
      <c r="C25" s="5"/>
      <c r="D25" s="5"/>
      <c r="E25" s="5"/>
      <c r="F25" s="6"/>
      <c r="G25" s="6"/>
      <c r="H25" s="6"/>
      <c r="I25" s="5" t="s">
        <v>37</v>
      </c>
      <c r="J25" s="5"/>
      <c r="K25" s="5"/>
      <c r="L25" s="7"/>
    </row>
    <row r="26" customFormat="false" ht="4.5" hidden="false" customHeight="true" outlineLevel="0" collapsed="false"/>
    <row r="27" customFormat="false" ht="21.75" hidden="false" customHeight="true" outlineLevel="0" collapsed="false">
      <c r="A27" s="4" t="s">
        <v>38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5" hidden="false" customHeight="true" outlineLevel="0" collapsed="false">
      <c r="A28" s="10" t="s">
        <v>39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customFormat="false" ht="15" hidden="false" customHeight="true" outlineLevel="0" collapsed="false">
      <c r="A29" s="11" t="s">
        <v>40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15" hidden="false" customHeight="true" outlineLevel="0" collapsed="false">
      <c r="A30" s="10" t="s">
        <v>41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customFormat="false" ht="15" hidden="false" customHeight="true" outlineLevel="0" collapsed="false">
      <c r="A31" s="11" t="s">
        <v>42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15" hidden="false" customHeight="true" outlineLevel="0" collapsed="false">
      <c r="A32" s="10" t="s">
        <v>43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customFormat="false" ht="15" hidden="false" customHeight="true" outlineLevel="0" collapsed="false">
      <c r="A33" s="11" t="s">
        <v>44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5" hidden="false" customHeight="true" outlineLevel="0" collapsed="false">
      <c r="A34" s="10" t="s">
        <v>45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customFormat="false" ht="15" hidden="false" customHeight="true" outlineLevel="0" collapsed="false">
      <c r="A35" s="11" t="s">
        <v>46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4.5" hidden="false" customHeight="true" outlineLevel="0" collapsed="false"/>
    <row r="37" customFormat="false" ht="18" hidden="false" customHeight="true" outlineLevel="0" collapsed="false">
      <c r="A37" s="12" t="s">
        <v>47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</sheetData>
  <mergeCells count="64">
    <mergeCell ref="A1:E1"/>
    <mergeCell ref="F1:L1"/>
    <mergeCell ref="A3:L3"/>
    <mergeCell ref="A5:L5"/>
    <mergeCell ref="A6:E6"/>
    <mergeCell ref="F6:H6"/>
    <mergeCell ref="I6:K6"/>
    <mergeCell ref="A7:E7"/>
    <mergeCell ref="F7:H7"/>
    <mergeCell ref="I7:K7"/>
    <mergeCell ref="A8:E8"/>
    <mergeCell ref="F8:H8"/>
    <mergeCell ref="I8:K8"/>
    <mergeCell ref="A9:E9"/>
    <mergeCell ref="F9:H9"/>
    <mergeCell ref="I9:K9"/>
    <mergeCell ref="A10:E10"/>
    <mergeCell ref="F10:H10"/>
    <mergeCell ref="I10:K10"/>
    <mergeCell ref="A11:E11"/>
    <mergeCell ref="F11:H11"/>
    <mergeCell ref="I11:K11"/>
    <mergeCell ref="A12:E12"/>
    <mergeCell ref="F12:H12"/>
    <mergeCell ref="I12:K12"/>
    <mergeCell ref="A14:L14"/>
    <mergeCell ref="A15:E15"/>
    <mergeCell ref="F15:H15"/>
    <mergeCell ref="I15:K15"/>
    <mergeCell ref="A16:E16"/>
    <mergeCell ref="F16:H16"/>
    <mergeCell ref="I16:K16"/>
    <mergeCell ref="A17:E17"/>
    <mergeCell ref="F17:H17"/>
    <mergeCell ref="I17:K17"/>
    <mergeCell ref="A18:E18"/>
    <mergeCell ref="F18:H18"/>
    <mergeCell ref="I18:K18"/>
    <mergeCell ref="A20:L20"/>
    <mergeCell ref="A21:E21"/>
    <mergeCell ref="F21:H21"/>
    <mergeCell ref="I21:K21"/>
    <mergeCell ref="A22:E22"/>
    <mergeCell ref="F22:H22"/>
    <mergeCell ref="I22:K22"/>
    <mergeCell ref="A23:E23"/>
    <mergeCell ref="F23:H23"/>
    <mergeCell ref="I23:K23"/>
    <mergeCell ref="A24:E24"/>
    <mergeCell ref="F24:H24"/>
    <mergeCell ref="I24:K24"/>
    <mergeCell ref="A25:E25"/>
    <mergeCell ref="F25:H25"/>
    <mergeCell ref="I25:K25"/>
    <mergeCell ref="A27:L27"/>
    <mergeCell ref="A28:L28"/>
    <mergeCell ref="A29:L29"/>
    <mergeCell ref="A30:L30"/>
    <mergeCell ref="A31:L31"/>
    <mergeCell ref="A32:L32"/>
    <mergeCell ref="A33:L33"/>
    <mergeCell ref="A34:L34"/>
    <mergeCell ref="A35:L35"/>
    <mergeCell ref="A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</row>
    <row r="2" customFormat="false" ht="21.75" hidden="false" customHeight="true" outlineLevel="0" collapsed="false">
      <c r="A2" s="4" t="s">
        <v>48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13" t="s">
        <v>49</v>
      </c>
      <c r="B3" s="13" t="s">
        <v>50</v>
      </c>
      <c r="C3" s="13" t="s">
        <v>51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56</v>
      </c>
      <c r="I3" s="13" t="s">
        <v>57</v>
      </c>
    </row>
    <row r="4" customFormat="false" ht="15" hidden="false" customHeight="true" outlineLevel="0" collapsed="false">
      <c r="A4" s="14" t="s">
        <v>58</v>
      </c>
      <c r="B4" s="15" t="s">
        <v>59</v>
      </c>
      <c r="C4" s="15" t="s">
        <v>60</v>
      </c>
      <c r="D4" s="14" t="s">
        <v>61</v>
      </c>
      <c r="E4" s="14" t="s">
        <v>62</v>
      </c>
      <c r="F4" s="14"/>
      <c r="G4" s="14"/>
      <c r="H4" s="14"/>
      <c r="I4" s="15" t="s">
        <v>63</v>
      </c>
    </row>
    <row r="5" customFormat="false" ht="15" hidden="false" customHeight="true" outlineLevel="0" collapsed="false">
      <c r="A5" s="16" t="s">
        <v>64</v>
      </c>
      <c r="B5" s="17" t="s">
        <v>65</v>
      </c>
      <c r="C5" s="17" t="s">
        <v>60</v>
      </c>
      <c r="D5" s="16" t="s">
        <v>61</v>
      </c>
      <c r="E5" s="16" t="s">
        <v>62</v>
      </c>
      <c r="F5" s="16"/>
      <c r="G5" s="16"/>
      <c r="H5" s="16"/>
      <c r="I5" s="17" t="s">
        <v>66</v>
      </c>
    </row>
    <row r="6" customFormat="false" ht="15" hidden="false" customHeight="true" outlineLevel="0" collapsed="false">
      <c r="A6" s="14" t="s">
        <v>67</v>
      </c>
      <c r="B6" s="15" t="s">
        <v>68</v>
      </c>
      <c r="C6" s="15" t="s">
        <v>60</v>
      </c>
      <c r="D6" s="14" t="s">
        <v>61</v>
      </c>
      <c r="E6" s="14" t="s">
        <v>62</v>
      </c>
      <c r="F6" s="14"/>
      <c r="G6" s="14"/>
      <c r="H6" s="14"/>
      <c r="I6" s="15" t="s">
        <v>69</v>
      </c>
    </row>
    <row r="7" customFormat="false" ht="15" hidden="false" customHeight="true" outlineLevel="0" collapsed="false">
      <c r="A7" s="16" t="s">
        <v>70</v>
      </c>
      <c r="B7" s="17" t="s">
        <v>71</v>
      </c>
      <c r="C7" s="17" t="s">
        <v>60</v>
      </c>
      <c r="D7" s="16" t="s">
        <v>61</v>
      </c>
      <c r="E7" s="16" t="s">
        <v>62</v>
      </c>
      <c r="F7" s="16"/>
      <c r="G7" s="16"/>
      <c r="H7" s="16"/>
      <c r="I7" s="17" t="s">
        <v>72</v>
      </c>
    </row>
    <row r="8" customFormat="false" ht="15" hidden="false" customHeight="true" outlineLevel="0" collapsed="false">
      <c r="A8" s="14" t="s">
        <v>73</v>
      </c>
      <c r="B8" s="15" t="s">
        <v>74</v>
      </c>
      <c r="C8" s="15" t="s">
        <v>60</v>
      </c>
      <c r="D8" s="14" t="s">
        <v>61</v>
      </c>
      <c r="E8" s="14" t="s">
        <v>75</v>
      </c>
      <c r="F8" s="14"/>
      <c r="G8" s="14"/>
      <c r="H8" s="14"/>
      <c r="I8" s="15" t="s">
        <v>76</v>
      </c>
    </row>
    <row r="9" customFormat="false" ht="15" hidden="false" customHeight="true" outlineLevel="0" collapsed="false">
      <c r="A9" s="16" t="s">
        <v>77</v>
      </c>
      <c r="B9" s="17" t="s">
        <v>78</v>
      </c>
      <c r="C9" s="17" t="s">
        <v>60</v>
      </c>
      <c r="D9" s="16" t="s">
        <v>61</v>
      </c>
      <c r="E9" s="16" t="s">
        <v>62</v>
      </c>
      <c r="F9" s="16"/>
      <c r="G9" s="16"/>
      <c r="H9" s="16"/>
      <c r="I9" s="17" t="s">
        <v>79</v>
      </c>
    </row>
    <row r="10" customFormat="false" ht="15" hidden="false" customHeight="true" outlineLevel="0" collapsed="false">
      <c r="A10" s="14" t="s">
        <v>80</v>
      </c>
      <c r="B10" s="15" t="s">
        <v>81</v>
      </c>
      <c r="C10" s="15" t="s">
        <v>60</v>
      </c>
      <c r="D10" s="14" t="s">
        <v>61</v>
      </c>
      <c r="E10" s="14" t="s">
        <v>75</v>
      </c>
      <c r="F10" s="14"/>
      <c r="G10" s="14"/>
      <c r="H10" s="14"/>
      <c r="I10" s="15" t="s">
        <v>82</v>
      </c>
    </row>
    <row r="11" customFormat="false" ht="15" hidden="false" customHeight="true" outlineLevel="0" collapsed="false">
      <c r="A11" s="16" t="s">
        <v>83</v>
      </c>
      <c r="B11" s="17" t="s">
        <v>84</v>
      </c>
      <c r="C11" s="17" t="s">
        <v>85</v>
      </c>
      <c r="D11" s="16" t="s">
        <v>61</v>
      </c>
      <c r="E11" s="16" t="s">
        <v>62</v>
      </c>
      <c r="F11" s="16"/>
      <c r="G11" s="16"/>
      <c r="H11" s="16"/>
      <c r="I11" s="17"/>
    </row>
    <row r="12" customFormat="false" ht="15" hidden="false" customHeight="true" outlineLevel="0" collapsed="false">
      <c r="A12" s="14" t="s">
        <v>86</v>
      </c>
      <c r="B12" s="15" t="s">
        <v>87</v>
      </c>
      <c r="C12" s="15" t="s">
        <v>85</v>
      </c>
      <c r="D12" s="14" t="s">
        <v>61</v>
      </c>
      <c r="E12" s="14" t="s">
        <v>88</v>
      </c>
      <c r="F12" s="14"/>
      <c r="G12" s="14"/>
      <c r="H12" s="14"/>
      <c r="I12" s="15"/>
    </row>
    <row r="13" customFormat="false" ht="15" hidden="false" customHeight="true" outlineLevel="0" collapsed="false">
      <c r="A13" s="16" t="s">
        <v>89</v>
      </c>
      <c r="B13" s="17" t="s">
        <v>90</v>
      </c>
      <c r="C13" s="17" t="s">
        <v>85</v>
      </c>
      <c r="D13" s="16" t="s">
        <v>61</v>
      </c>
      <c r="E13" s="16" t="s">
        <v>91</v>
      </c>
      <c r="F13" s="16"/>
      <c r="G13" s="16"/>
      <c r="H13" s="16"/>
      <c r="I13" s="17" t="s">
        <v>92</v>
      </c>
    </row>
    <row r="14" customFormat="false" ht="15" hidden="false" customHeight="true" outlineLevel="0" collapsed="false">
      <c r="A14" s="14" t="s">
        <v>93</v>
      </c>
      <c r="B14" s="15" t="s">
        <v>94</v>
      </c>
      <c r="C14" s="15" t="s">
        <v>85</v>
      </c>
      <c r="D14" s="14" t="s">
        <v>61</v>
      </c>
      <c r="E14" s="14" t="s">
        <v>62</v>
      </c>
      <c r="F14" s="14"/>
      <c r="G14" s="14"/>
      <c r="H14" s="14"/>
      <c r="I14" s="15" t="s">
        <v>95</v>
      </c>
    </row>
    <row r="15" customFormat="false" ht="15" hidden="false" customHeight="true" outlineLevel="0" collapsed="false">
      <c r="A15" s="16" t="s">
        <v>96</v>
      </c>
      <c r="B15" s="17" t="s">
        <v>97</v>
      </c>
      <c r="C15" s="17" t="s">
        <v>85</v>
      </c>
      <c r="D15" s="16" t="s">
        <v>61</v>
      </c>
      <c r="E15" s="16" t="s">
        <v>91</v>
      </c>
      <c r="F15" s="16"/>
      <c r="G15" s="16"/>
      <c r="H15" s="16"/>
      <c r="I15" s="17" t="s">
        <v>98</v>
      </c>
    </row>
    <row r="16" customFormat="false" ht="15" hidden="false" customHeight="true" outlineLevel="0" collapsed="false">
      <c r="A16" s="14" t="s">
        <v>99</v>
      </c>
      <c r="B16" s="15" t="s">
        <v>100</v>
      </c>
      <c r="C16" s="15" t="s">
        <v>85</v>
      </c>
      <c r="D16" s="14" t="s">
        <v>61</v>
      </c>
      <c r="E16" s="14" t="s">
        <v>91</v>
      </c>
      <c r="F16" s="14"/>
      <c r="G16" s="14"/>
      <c r="H16" s="14"/>
      <c r="I16" s="15" t="s">
        <v>101</v>
      </c>
    </row>
    <row r="17" customFormat="false" ht="15" hidden="false" customHeight="true" outlineLevel="0" collapsed="false">
      <c r="A17" s="16" t="s">
        <v>102</v>
      </c>
      <c r="B17" s="17" t="s">
        <v>103</v>
      </c>
      <c r="C17" s="17" t="s">
        <v>85</v>
      </c>
      <c r="D17" s="16" t="s">
        <v>61</v>
      </c>
      <c r="E17" s="16" t="s">
        <v>88</v>
      </c>
      <c r="F17" s="16"/>
      <c r="G17" s="16"/>
      <c r="H17" s="16"/>
      <c r="I17" s="17"/>
    </row>
    <row r="18" customFormat="false" ht="15" hidden="false" customHeight="true" outlineLevel="0" collapsed="false">
      <c r="A18" s="14" t="s">
        <v>104</v>
      </c>
      <c r="B18" s="15" t="s">
        <v>105</v>
      </c>
      <c r="C18" s="15" t="s">
        <v>85</v>
      </c>
      <c r="D18" s="14" t="s">
        <v>61</v>
      </c>
      <c r="E18" s="14" t="s">
        <v>106</v>
      </c>
      <c r="F18" s="14"/>
      <c r="G18" s="14"/>
      <c r="H18" s="14"/>
      <c r="I18" s="15"/>
    </row>
    <row r="19" customFormat="false" ht="4.5" hidden="false" customHeight="true" outlineLevel="0" collapsed="false"/>
    <row r="20" customFormat="false" ht="18" hidden="false" customHeight="true" outlineLevel="0" collapsed="false">
      <c r="A20" s="12" t="s">
        <v>47</v>
      </c>
      <c r="B20" s="12"/>
      <c r="C20" s="12"/>
      <c r="D20" s="12"/>
      <c r="E20" s="12"/>
      <c r="F20" s="12"/>
      <c r="G20" s="12"/>
      <c r="H20" s="12"/>
      <c r="I20" s="12"/>
    </row>
  </sheetData>
  <mergeCells count="4">
    <mergeCell ref="A1:E1"/>
    <mergeCell ref="F1:I1"/>
    <mergeCell ref="A2:I2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</row>
    <row r="2" customFormat="false" ht="21.75" hidden="false" customHeight="true" outlineLevel="0" collapsed="false">
      <c r="A2" s="4" t="s">
        <v>107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13" t="s">
        <v>49</v>
      </c>
      <c r="B3" s="13" t="s">
        <v>50</v>
      </c>
      <c r="C3" s="13" t="s">
        <v>108</v>
      </c>
      <c r="D3" s="13" t="s">
        <v>109</v>
      </c>
      <c r="E3" s="13" t="s">
        <v>53</v>
      </c>
      <c r="F3" s="13" t="s">
        <v>54</v>
      </c>
      <c r="G3" s="13" t="s">
        <v>55</v>
      </c>
      <c r="H3" s="13" t="s">
        <v>56</v>
      </c>
      <c r="I3" s="13" t="s">
        <v>57</v>
      </c>
    </row>
    <row r="4" customFormat="false" ht="16.5" hidden="false" customHeight="true" outlineLevel="0" collapsed="false">
      <c r="A4" s="18" t="s">
        <v>110</v>
      </c>
      <c r="B4" s="18"/>
      <c r="C4" s="18"/>
      <c r="D4" s="18"/>
      <c r="E4" s="18"/>
      <c r="F4" s="18"/>
      <c r="G4" s="18"/>
      <c r="H4" s="18"/>
      <c r="I4" s="18"/>
    </row>
    <row r="5" customFormat="false" ht="15" hidden="false" customHeight="true" outlineLevel="0" collapsed="false">
      <c r="A5" s="14" t="s">
        <v>111</v>
      </c>
      <c r="B5" s="15" t="s">
        <v>112</v>
      </c>
      <c r="C5" s="15" t="s">
        <v>113</v>
      </c>
      <c r="D5" s="14" t="s">
        <v>114</v>
      </c>
      <c r="E5" s="14" t="s">
        <v>88</v>
      </c>
      <c r="F5" s="14"/>
      <c r="G5" s="14"/>
      <c r="H5" s="14"/>
      <c r="I5" s="15" t="s">
        <v>115</v>
      </c>
    </row>
    <row r="6" customFormat="false" ht="15" hidden="false" customHeight="true" outlineLevel="0" collapsed="false">
      <c r="A6" s="16" t="s">
        <v>116</v>
      </c>
      <c r="B6" s="17" t="s">
        <v>117</v>
      </c>
      <c r="C6" s="17" t="s">
        <v>113</v>
      </c>
      <c r="D6" s="16" t="s">
        <v>114</v>
      </c>
      <c r="E6" s="16" t="s">
        <v>88</v>
      </c>
      <c r="F6" s="16"/>
      <c r="G6" s="16"/>
      <c r="H6" s="16"/>
      <c r="I6" s="17"/>
    </row>
    <row r="7" customFormat="false" ht="15" hidden="false" customHeight="true" outlineLevel="0" collapsed="false">
      <c r="A7" s="14" t="s">
        <v>118</v>
      </c>
      <c r="B7" s="15" t="s">
        <v>119</v>
      </c>
      <c r="C7" s="15" t="s">
        <v>113</v>
      </c>
      <c r="D7" s="14" t="s">
        <v>114</v>
      </c>
      <c r="E7" s="14" t="s">
        <v>88</v>
      </c>
      <c r="F7" s="14"/>
      <c r="G7" s="14"/>
      <c r="H7" s="14"/>
      <c r="I7" s="15"/>
    </row>
    <row r="8" customFormat="false" ht="15" hidden="false" customHeight="true" outlineLevel="0" collapsed="false">
      <c r="A8" s="16" t="s">
        <v>120</v>
      </c>
      <c r="B8" s="17" t="s">
        <v>121</v>
      </c>
      <c r="C8" s="17" t="s">
        <v>113</v>
      </c>
      <c r="D8" s="16" t="s">
        <v>122</v>
      </c>
      <c r="E8" s="16" t="s">
        <v>123</v>
      </c>
      <c r="F8" s="16"/>
      <c r="G8" s="16"/>
      <c r="H8" s="16"/>
      <c r="I8" s="17" t="s">
        <v>124</v>
      </c>
    </row>
    <row r="9" customFormat="false" ht="15" hidden="false" customHeight="true" outlineLevel="0" collapsed="false">
      <c r="A9" s="14" t="s">
        <v>125</v>
      </c>
      <c r="B9" s="15" t="s">
        <v>126</v>
      </c>
      <c r="C9" s="15" t="s">
        <v>127</v>
      </c>
      <c r="D9" s="14" t="s">
        <v>114</v>
      </c>
      <c r="E9" s="14" t="s">
        <v>62</v>
      </c>
      <c r="F9" s="14"/>
      <c r="G9" s="14"/>
      <c r="H9" s="14"/>
      <c r="I9" s="15" t="s">
        <v>128</v>
      </c>
    </row>
    <row r="10" customFormat="false" ht="15" hidden="false" customHeight="true" outlineLevel="0" collapsed="false">
      <c r="A10" s="16" t="s">
        <v>129</v>
      </c>
      <c r="B10" s="17" t="s">
        <v>130</v>
      </c>
      <c r="C10" s="17" t="s">
        <v>127</v>
      </c>
      <c r="D10" s="16" t="s">
        <v>114</v>
      </c>
      <c r="E10" s="16" t="s">
        <v>91</v>
      </c>
      <c r="F10" s="16"/>
      <c r="G10" s="16"/>
      <c r="H10" s="16"/>
      <c r="I10" s="17"/>
    </row>
    <row r="11" customFormat="false" ht="3.75" hidden="false" customHeight="true" outlineLevel="0" collapsed="false"/>
    <row r="12" customFormat="false" ht="16.5" hidden="false" customHeight="true" outlineLevel="0" collapsed="false">
      <c r="A12" s="18" t="s">
        <v>131</v>
      </c>
      <c r="B12" s="18"/>
      <c r="C12" s="18"/>
      <c r="D12" s="18"/>
      <c r="E12" s="18"/>
      <c r="F12" s="18"/>
      <c r="G12" s="18"/>
      <c r="H12" s="18"/>
      <c r="I12" s="18"/>
    </row>
    <row r="13" customFormat="false" ht="15" hidden="false" customHeight="true" outlineLevel="0" collapsed="false">
      <c r="A13" s="14" t="s">
        <v>132</v>
      </c>
      <c r="B13" s="15" t="s">
        <v>133</v>
      </c>
      <c r="C13" s="15" t="s">
        <v>134</v>
      </c>
      <c r="D13" s="14" t="s">
        <v>135</v>
      </c>
      <c r="E13" s="14" t="s">
        <v>91</v>
      </c>
      <c r="F13" s="14"/>
      <c r="G13" s="14"/>
      <c r="H13" s="14"/>
      <c r="I13" s="15"/>
    </row>
    <row r="14" customFormat="false" ht="15" hidden="false" customHeight="true" outlineLevel="0" collapsed="false">
      <c r="A14" s="16" t="s">
        <v>136</v>
      </c>
      <c r="B14" s="17" t="s">
        <v>137</v>
      </c>
      <c r="C14" s="17" t="s">
        <v>134</v>
      </c>
      <c r="D14" s="16" t="s">
        <v>135</v>
      </c>
      <c r="E14" s="16" t="s">
        <v>123</v>
      </c>
      <c r="F14" s="16"/>
      <c r="G14" s="16"/>
      <c r="H14" s="16"/>
      <c r="I14" s="17"/>
    </row>
    <row r="15" customFormat="false" ht="15" hidden="false" customHeight="true" outlineLevel="0" collapsed="false">
      <c r="A15" s="14" t="s">
        <v>138</v>
      </c>
      <c r="B15" s="15" t="s">
        <v>139</v>
      </c>
      <c r="C15" s="15" t="s">
        <v>134</v>
      </c>
      <c r="D15" s="14" t="s">
        <v>135</v>
      </c>
      <c r="E15" s="14" t="s">
        <v>106</v>
      </c>
      <c r="F15" s="14"/>
      <c r="G15" s="14"/>
      <c r="H15" s="14"/>
      <c r="I15" s="15"/>
    </row>
    <row r="16" customFormat="false" ht="15" hidden="false" customHeight="true" outlineLevel="0" collapsed="false">
      <c r="A16" s="16" t="s">
        <v>140</v>
      </c>
      <c r="B16" s="17" t="s">
        <v>141</v>
      </c>
      <c r="C16" s="17" t="s">
        <v>134</v>
      </c>
      <c r="D16" s="16" t="s">
        <v>135</v>
      </c>
      <c r="E16" s="16" t="s">
        <v>142</v>
      </c>
      <c r="F16" s="16"/>
      <c r="G16" s="16"/>
      <c r="H16" s="16"/>
      <c r="I16" s="17"/>
    </row>
    <row r="17" customFormat="false" ht="15" hidden="false" customHeight="true" outlineLevel="0" collapsed="false">
      <c r="A17" s="14" t="s">
        <v>143</v>
      </c>
      <c r="B17" s="15" t="s">
        <v>144</v>
      </c>
      <c r="C17" s="15" t="s">
        <v>134</v>
      </c>
      <c r="D17" s="14" t="s">
        <v>135</v>
      </c>
      <c r="E17" s="14" t="s">
        <v>145</v>
      </c>
      <c r="F17" s="14"/>
      <c r="G17" s="14"/>
      <c r="H17" s="14"/>
      <c r="I17" s="15" t="s">
        <v>146</v>
      </c>
    </row>
    <row r="18" customFormat="false" ht="15" hidden="false" customHeight="true" outlineLevel="0" collapsed="false">
      <c r="A18" s="16" t="s">
        <v>147</v>
      </c>
      <c r="B18" s="17" t="s">
        <v>148</v>
      </c>
      <c r="C18" s="17" t="s">
        <v>134</v>
      </c>
      <c r="D18" s="16" t="s">
        <v>114</v>
      </c>
      <c r="E18" s="16" t="s">
        <v>149</v>
      </c>
      <c r="F18" s="16"/>
      <c r="G18" s="16"/>
      <c r="H18" s="16"/>
      <c r="I18" s="17" t="s">
        <v>150</v>
      </c>
    </row>
    <row r="19" customFormat="false" ht="3.75" hidden="false" customHeight="true" outlineLevel="0" collapsed="false"/>
    <row r="20" customFormat="false" ht="16.5" hidden="false" customHeight="true" outlineLevel="0" collapsed="false">
      <c r="A20" s="18" t="s">
        <v>151</v>
      </c>
      <c r="B20" s="18"/>
      <c r="C20" s="18"/>
      <c r="D20" s="18"/>
      <c r="E20" s="18"/>
      <c r="F20" s="18"/>
      <c r="G20" s="18"/>
      <c r="H20" s="18"/>
      <c r="I20" s="18"/>
    </row>
    <row r="21" customFormat="false" ht="15" hidden="false" customHeight="true" outlineLevel="0" collapsed="false">
      <c r="A21" s="14" t="s">
        <v>152</v>
      </c>
      <c r="B21" s="15" t="s">
        <v>153</v>
      </c>
      <c r="C21" s="15" t="s">
        <v>154</v>
      </c>
      <c r="D21" s="14" t="s">
        <v>135</v>
      </c>
      <c r="E21" s="14" t="s">
        <v>91</v>
      </c>
      <c r="F21" s="14"/>
      <c r="G21" s="14"/>
      <c r="H21" s="14"/>
      <c r="I21" s="15"/>
    </row>
    <row r="22" customFormat="false" ht="15" hidden="false" customHeight="true" outlineLevel="0" collapsed="false">
      <c r="A22" s="16" t="s">
        <v>155</v>
      </c>
      <c r="B22" s="17" t="s">
        <v>156</v>
      </c>
      <c r="C22" s="17" t="s">
        <v>154</v>
      </c>
      <c r="D22" s="16" t="s">
        <v>135</v>
      </c>
      <c r="E22" s="16" t="s">
        <v>106</v>
      </c>
      <c r="F22" s="16"/>
      <c r="G22" s="16"/>
      <c r="H22" s="16"/>
      <c r="I22" s="17"/>
    </row>
    <row r="23" customFormat="false" ht="15" hidden="false" customHeight="true" outlineLevel="0" collapsed="false">
      <c r="A23" s="14" t="s">
        <v>157</v>
      </c>
      <c r="B23" s="15" t="s">
        <v>158</v>
      </c>
      <c r="C23" s="15" t="s">
        <v>154</v>
      </c>
      <c r="D23" s="14" t="s">
        <v>135</v>
      </c>
      <c r="E23" s="14" t="s">
        <v>142</v>
      </c>
      <c r="F23" s="14"/>
      <c r="G23" s="14"/>
      <c r="H23" s="14"/>
      <c r="I23" s="15"/>
    </row>
    <row r="24" customFormat="false" ht="15" hidden="false" customHeight="true" outlineLevel="0" collapsed="false">
      <c r="A24" s="16" t="s">
        <v>159</v>
      </c>
      <c r="B24" s="17" t="s">
        <v>160</v>
      </c>
      <c r="C24" s="17" t="s">
        <v>154</v>
      </c>
      <c r="D24" s="16" t="s">
        <v>135</v>
      </c>
      <c r="E24" s="16" t="s">
        <v>149</v>
      </c>
      <c r="F24" s="16"/>
      <c r="G24" s="16"/>
      <c r="H24" s="16"/>
      <c r="I24" s="17" t="s">
        <v>161</v>
      </c>
    </row>
    <row r="25" customFormat="false" ht="15" hidden="false" customHeight="true" outlineLevel="0" collapsed="false">
      <c r="A25" s="14" t="s">
        <v>162</v>
      </c>
      <c r="B25" s="15" t="s">
        <v>163</v>
      </c>
      <c r="C25" s="15" t="s">
        <v>154</v>
      </c>
      <c r="D25" s="14" t="s">
        <v>135</v>
      </c>
      <c r="E25" s="14" t="s">
        <v>75</v>
      </c>
      <c r="F25" s="14"/>
      <c r="G25" s="14"/>
      <c r="H25" s="14"/>
      <c r="I25" s="15" t="s">
        <v>164</v>
      </c>
    </row>
    <row r="26" customFormat="false" ht="15" hidden="false" customHeight="true" outlineLevel="0" collapsed="false">
      <c r="A26" s="16" t="s">
        <v>165</v>
      </c>
      <c r="B26" s="17" t="s">
        <v>166</v>
      </c>
      <c r="C26" s="17" t="s">
        <v>154</v>
      </c>
      <c r="D26" s="16" t="s">
        <v>114</v>
      </c>
      <c r="E26" s="16" t="s">
        <v>91</v>
      </c>
      <c r="F26" s="16"/>
      <c r="G26" s="16"/>
      <c r="H26" s="16"/>
      <c r="I26" s="17" t="s">
        <v>167</v>
      </c>
    </row>
    <row r="27" customFormat="false" ht="15" hidden="false" customHeight="true" outlineLevel="0" collapsed="false">
      <c r="A27" s="14" t="s">
        <v>168</v>
      </c>
      <c r="B27" s="15" t="s">
        <v>169</v>
      </c>
      <c r="C27" s="15" t="s">
        <v>154</v>
      </c>
      <c r="D27" s="14" t="s">
        <v>114</v>
      </c>
      <c r="E27" s="14" t="s">
        <v>91</v>
      </c>
      <c r="F27" s="14"/>
      <c r="G27" s="14"/>
      <c r="H27" s="14"/>
      <c r="I27" s="15" t="s">
        <v>167</v>
      </c>
    </row>
    <row r="28" customFormat="false" ht="3.75" hidden="false" customHeight="true" outlineLevel="0" collapsed="false"/>
    <row r="29" customFormat="false" ht="16.5" hidden="false" customHeight="true" outlineLevel="0" collapsed="false">
      <c r="A29" s="18" t="s">
        <v>170</v>
      </c>
      <c r="B29" s="18"/>
      <c r="C29" s="18"/>
      <c r="D29" s="18"/>
      <c r="E29" s="18"/>
      <c r="F29" s="18"/>
      <c r="G29" s="18"/>
      <c r="H29" s="18"/>
      <c r="I29" s="18"/>
    </row>
    <row r="30" customFormat="false" ht="15" hidden="false" customHeight="true" outlineLevel="0" collapsed="false">
      <c r="A30" s="14" t="s">
        <v>171</v>
      </c>
      <c r="B30" s="15" t="s">
        <v>172</v>
      </c>
      <c r="C30" s="15" t="s">
        <v>173</v>
      </c>
      <c r="D30" s="14" t="s">
        <v>135</v>
      </c>
      <c r="E30" s="14" t="s">
        <v>91</v>
      </c>
      <c r="F30" s="14"/>
      <c r="G30" s="14"/>
      <c r="H30" s="14"/>
      <c r="I30" s="15"/>
    </row>
    <row r="31" customFormat="false" ht="15" hidden="false" customHeight="true" outlineLevel="0" collapsed="false">
      <c r="A31" s="16" t="s">
        <v>174</v>
      </c>
      <c r="B31" s="17" t="s">
        <v>175</v>
      </c>
      <c r="C31" s="17" t="s">
        <v>173</v>
      </c>
      <c r="D31" s="16" t="s">
        <v>135</v>
      </c>
      <c r="E31" s="16" t="s">
        <v>123</v>
      </c>
      <c r="F31" s="16"/>
      <c r="G31" s="16"/>
      <c r="H31" s="16"/>
      <c r="I31" s="17"/>
    </row>
    <row r="32" customFormat="false" ht="15" hidden="false" customHeight="true" outlineLevel="0" collapsed="false">
      <c r="A32" s="14" t="s">
        <v>176</v>
      </c>
      <c r="B32" s="15" t="s">
        <v>177</v>
      </c>
      <c r="C32" s="15" t="s">
        <v>173</v>
      </c>
      <c r="D32" s="14" t="s">
        <v>135</v>
      </c>
      <c r="E32" s="14" t="s">
        <v>62</v>
      </c>
      <c r="F32" s="14"/>
      <c r="G32" s="14"/>
      <c r="H32" s="14"/>
      <c r="I32" s="15" t="s">
        <v>178</v>
      </c>
    </row>
    <row r="33" customFormat="false" ht="15" hidden="false" customHeight="true" outlineLevel="0" collapsed="false">
      <c r="A33" s="16" t="s">
        <v>179</v>
      </c>
      <c r="B33" s="17" t="s">
        <v>180</v>
      </c>
      <c r="C33" s="17" t="s">
        <v>181</v>
      </c>
      <c r="D33" s="16" t="s">
        <v>182</v>
      </c>
      <c r="E33" s="16" t="s">
        <v>142</v>
      </c>
      <c r="F33" s="16"/>
      <c r="G33" s="16"/>
      <c r="H33" s="16"/>
      <c r="I33" s="17"/>
    </row>
    <row r="34" customFormat="false" ht="15" hidden="false" customHeight="true" outlineLevel="0" collapsed="false">
      <c r="A34" s="14" t="s">
        <v>183</v>
      </c>
      <c r="B34" s="15" t="s">
        <v>184</v>
      </c>
      <c r="C34" s="15" t="s">
        <v>181</v>
      </c>
      <c r="D34" s="14" t="s">
        <v>182</v>
      </c>
      <c r="E34" s="14" t="s">
        <v>185</v>
      </c>
      <c r="F34" s="14"/>
      <c r="G34" s="14"/>
      <c r="H34" s="14"/>
      <c r="I34" s="15"/>
    </row>
    <row r="35" customFormat="false" ht="3.75" hidden="false" customHeight="true" outlineLevel="0" collapsed="false"/>
    <row r="36" customFormat="false" ht="4.5" hidden="false" customHeight="true" outlineLevel="0" collapsed="false"/>
    <row r="37" customFormat="false" ht="18" hidden="false" customHeight="true" outlineLevel="0" collapsed="false">
      <c r="A37" s="12" t="s">
        <v>47</v>
      </c>
      <c r="B37" s="12"/>
      <c r="C37" s="12"/>
      <c r="D37" s="12"/>
      <c r="E37" s="12"/>
      <c r="F37" s="12"/>
      <c r="G37" s="12"/>
      <c r="H37" s="12"/>
      <c r="I37" s="12"/>
    </row>
  </sheetData>
  <mergeCells count="8">
    <mergeCell ref="A1:E1"/>
    <mergeCell ref="F1:I1"/>
    <mergeCell ref="A2:I2"/>
    <mergeCell ref="A4:I4"/>
    <mergeCell ref="A12:I12"/>
    <mergeCell ref="A20:I20"/>
    <mergeCell ref="A29:I29"/>
    <mergeCell ref="A37:I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</row>
    <row r="2" customFormat="false" ht="21.75" hidden="false" customHeight="true" outlineLevel="0" collapsed="false">
      <c r="A2" s="4" t="s">
        <v>186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13" t="s">
        <v>49</v>
      </c>
      <c r="B3" s="13" t="s">
        <v>187</v>
      </c>
      <c r="C3" s="13" t="s">
        <v>188</v>
      </c>
      <c r="D3" s="13" t="s">
        <v>52</v>
      </c>
      <c r="E3" s="13" t="s">
        <v>53</v>
      </c>
      <c r="F3" s="13" t="s">
        <v>54</v>
      </c>
      <c r="G3" s="13" t="s">
        <v>55</v>
      </c>
      <c r="H3" s="13" t="s">
        <v>56</v>
      </c>
      <c r="I3" s="13" t="s">
        <v>57</v>
      </c>
    </row>
    <row r="4" customFormat="false" ht="16.5" hidden="false" customHeight="true" outlineLevel="0" collapsed="false">
      <c r="A4" s="18" t="s">
        <v>189</v>
      </c>
      <c r="B4" s="18"/>
      <c r="C4" s="18"/>
      <c r="D4" s="18"/>
      <c r="E4" s="18"/>
      <c r="F4" s="18"/>
      <c r="G4" s="18"/>
      <c r="H4" s="18"/>
      <c r="I4" s="18"/>
    </row>
    <row r="5" customFormat="false" ht="15" hidden="false" customHeight="true" outlineLevel="0" collapsed="false">
      <c r="A5" s="14" t="s">
        <v>190</v>
      </c>
      <c r="B5" s="15" t="s">
        <v>191</v>
      </c>
      <c r="C5" s="15" t="s">
        <v>192</v>
      </c>
      <c r="D5" s="14" t="s">
        <v>61</v>
      </c>
      <c r="E5" s="14" t="s">
        <v>75</v>
      </c>
      <c r="F5" s="14"/>
      <c r="G5" s="14"/>
      <c r="H5" s="14"/>
      <c r="I5" s="15"/>
    </row>
    <row r="6" customFormat="false" ht="15" hidden="false" customHeight="true" outlineLevel="0" collapsed="false">
      <c r="A6" s="16" t="s">
        <v>193</v>
      </c>
      <c r="B6" s="17" t="s">
        <v>194</v>
      </c>
      <c r="C6" s="17" t="s">
        <v>192</v>
      </c>
      <c r="D6" s="16" t="s">
        <v>61</v>
      </c>
      <c r="E6" s="16" t="s">
        <v>75</v>
      </c>
      <c r="F6" s="16"/>
      <c r="G6" s="16"/>
      <c r="H6" s="16"/>
      <c r="I6" s="17"/>
    </row>
    <row r="7" customFormat="false" ht="15" hidden="false" customHeight="true" outlineLevel="0" collapsed="false">
      <c r="A7" s="14" t="s">
        <v>195</v>
      </c>
      <c r="B7" s="15" t="s">
        <v>196</v>
      </c>
      <c r="C7" s="15" t="s">
        <v>192</v>
      </c>
      <c r="D7" s="14" t="s">
        <v>61</v>
      </c>
      <c r="E7" s="14" t="s">
        <v>75</v>
      </c>
      <c r="F7" s="14"/>
      <c r="G7" s="14"/>
      <c r="H7" s="14"/>
      <c r="I7" s="15"/>
    </row>
    <row r="8" customFormat="false" ht="15" hidden="false" customHeight="true" outlineLevel="0" collapsed="false">
      <c r="A8" s="16" t="s">
        <v>197</v>
      </c>
      <c r="B8" s="17" t="s">
        <v>198</v>
      </c>
      <c r="C8" s="17" t="s">
        <v>192</v>
      </c>
      <c r="D8" s="16" t="s">
        <v>61</v>
      </c>
      <c r="E8" s="16" t="s">
        <v>62</v>
      </c>
      <c r="F8" s="16"/>
      <c r="G8" s="16"/>
      <c r="H8" s="16"/>
      <c r="I8" s="17"/>
    </row>
    <row r="9" customFormat="false" ht="15" hidden="false" customHeight="true" outlineLevel="0" collapsed="false">
      <c r="A9" s="14" t="s">
        <v>199</v>
      </c>
      <c r="B9" s="15" t="s">
        <v>200</v>
      </c>
      <c r="C9" s="15" t="s">
        <v>192</v>
      </c>
      <c r="D9" s="14" t="s">
        <v>61</v>
      </c>
      <c r="E9" s="14" t="s">
        <v>62</v>
      </c>
      <c r="F9" s="14"/>
      <c r="G9" s="14"/>
      <c r="H9" s="14"/>
      <c r="I9" s="15"/>
    </row>
    <row r="10" customFormat="false" ht="15" hidden="false" customHeight="true" outlineLevel="0" collapsed="false">
      <c r="A10" s="16" t="s">
        <v>201</v>
      </c>
      <c r="B10" s="17" t="s">
        <v>202</v>
      </c>
      <c r="C10" s="17" t="s">
        <v>192</v>
      </c>
      <c r="D10" s="16" t="s">
        <v>61</v>
      </c>
      <c r="E10" s="16" t="s">
        <v>62</v>
      </c>
      <c r="F10" s="16"/>
      <c r="G10" s="16"/>
      <c r="H10" s="16"/>
      <c r="I10" s="17"/>
    </row>
    <row r="11" customFormat="false" ht="15" hidden="false" customHeight="true" outlineLevel="0" collapsed="false">
      <c r="A11" s="14" t="s">
        <v>203</v>
      </c>
      <c r="B11" s="15" t="s">
        <v>204</v>
      </c>
      <c r="C11" s="15" t="s">
        <v>192</v>
      </c>
      <c r="D11" s="14" t="s">
        <v>61</v>
      </c>
      <c r="E11" s="14" t="s">
        <v>88</v>
      </c>
      <c r="F11" s="14"/>
      <c r="G11" s="14"/>
      <c r="H11" s="14"/>
      <c r="I11" s="15"/>
    </row>
    <row r="12" customFormat="false" ht="15" hidden="false" customHeight="true" outlineLevel="0" collapsed="false">
      <c r="A12" s="16" t="s">
        <v>205</v>
      </c>
      <c r="B12" s="17" t="s">
        <v>206</v>
      </c>
      <c r="C12" s="17" t="s">
        <v>192</v>
      </c>
      <c r="D12" s="16" t="s">
        <v>61</v>
      </c>
      <c r="E12" s="16" t="s">
        <v>88</v>
      </c>
      <c r="F12" s="16"/>
      <c r="G12" s="16"/>
      <c r="H12" s="16"/>
      <c r="I12" s="17"/>
    </row>
    <row r="13" customFormat="false" ht="15" hidden="false" customHeight="true" outlineLevel="0" collapsed="false">
      <c r="A13" s="14" t="s">
        <v>207</v>
      </c>
      <c r="B13" s="15" t="s">
        <v>208</v>
      </c>
      <c r="C13" s="15" t="s">
        <v>192</v>
      </c>
      <c r="D13" s="14" t="s">
        <v>61</v>
      </c>
      <c r="E13" s="14" t="s">
        <v>75</v>
      </c>
      <c r="F13" s="14"/>
      <c r="G13" s="14"/>
      <c r="H13" s="14"/>
      <c r="I13" s="15"/>
    </row>
    <row r="14" customFormat="false" ht="15" hidden="false" customHeight="true" outlineLevel="0" collapsed="false">
      <c r="A14" s="16" t="s">
        <v>209</v>
      </c>
      <c r="B14" s="17" t="s">
        <v>210</v>
      </c>
      <c r="C14" s="17" t="s">
        <v>192</v>
      </c>
      <c r="D14" s="16" t="s">
        <v>61</v>
      </c>
      <c r="E14" s="16" t="s">
        <v>106</v>
      </c>
      <c r="F14" s="16"/>
      <c r="G14" s="16"/>
      <c r="H14" s="16"/>
      <c r="I14" s="17" t="s">
        <v>211</v>
      </c>
    </row>
    <row r="15" customFormat="false" ht="3.75" hidden="false" customHeight="true" outlineLevel="0" collapsed="false"/>
    <row r="16" customFormat="false" ht="16.5" hidden="false" customHeight="true" outlineLevel="0" collapsed="false">
      <c r="A16" s="18" t="s">
        <v>212</v>
      </c>
      <c r="B16" s="18"/>
      <c r="C16" s="18"/>
      <c r="D16" s="18"/>
      <c r="E16" s="18"/>
      <c r="F16" s="18"/>
      <c r="G16" s="18"/>
      <c r="H16" s="18"/>
      <c r="I16" s="18"/>
    </row>
    <row r="17" customFormat="false" ht="15" hidden="false" customHeight="true" outlineLevel="0" collapsed="false">
      <c r="A17" s="14" t="s">
        <v>213</v>
      </c>
      <c r="B17" s="15" t="s">
        <v>214</v>
      </c>
      <c r="C17" s="15" t="s">
        <v>215</v>
      </c>
      <c r="D17" s="14" t="s">
        <v>61</v>
      </c>
      <c r="E17" s="14" t="s">
        <v>88</v>
      </c>
      <c r="F17" s="14"/>
      <c r="G17" s="14"/>
      <c r="H17" s="14"/>
      <c r="I17" s="15"/>
    </row>
    <row r="18" customFormat="false" ht="15" hidden="false" customHeight="true" outlineLevel="0" collapsed="false">
      <c r="A18" s="16" t="s">
        <v>216</v>
      </c>
      <c r="B18" s="17" t="s">
        <v>217</v>
      </c>
      <c r="C18" s="17" t="s">
        <v>215</v>
      </c>
      <c r="D18" s="16" t="s">
        <v>61</v>
      </c>
      <c r="E18" s="16" t="s">
        <v>91</v>
      </c>
      <c r="F18" s="16"/>
      <c r="G18" s="16"/>
      <c r="H18" s="16"/>
      <c r="I18" s="17"/>
    </row>
    <row r="19" customFormat="false" ht="15" hidden="false" customHeight="true" outlineLevel="0" collapsed="false">
      <c r="A19" s="14" t="s">
        <v>218</v>
      </c>
      <c r="B19" s="15" t="s">
        <v>219</v>
      </c>
      <c r="C19" s="15" t="s">
        <v>215</v>
      </c>
      <c r="D19" s="14" t="s">
        <v>61</v>
      </c>
      <c r="E19" s="14" t="s">
        <v>91</v>
      </c>
      <c r="F19" s="14"/>
      <c r="G19" s="14"/>
      <c r="H19" s="14"/>
      <c r="I19" s="15"/>
    </row>
    <row r="20" customFormat="false" ht="15" hidden="false" customHeight="true" outlineLevel="0" collapsed="false">
      <c r="A20" s="16" t="s">
        <v>220</v>
      </c>
      <c r="B20" s="17" t="s">
        <v>221</v>
      </c>
      <c r="C20" s="17" t="s">
        <v>215</v>
      </c>
      <c r="D20" s="16" t="s">
        <v>61</v>
      </c>
      <c r="E20" s="16" t="s">
        <v>91</v>
      </c>
      <c r="F20" s="16"/>
      <c r="G20" s="16"/>
      <c r="H20" s="16"/>
      <c r="I20" s="17"/>
    </row>
    <row r="21" customFormat="false" ht="15" hidden="false" customHeight="true" outlineLevel="0" collapsed="false">
      <c r="A21" s="14" t="s">
        <v>222</v>
      </c>
      <c r="B21" s="15" t="s">
        <v>223</v>
      </c>
      <c r="C21" s="15" t="s">
        <v>215</v>
      </c>
      <c r="D21" s="14" t="s">
        <v>61</v>
      </c>
      <c r="E21" s="14" t="s">
        <v>123</v>
      </c>
      <c r="F21" s="14"/>
      <c r="G21" s="14"/>
      <c r="H21" s="14"/>
      <c r="I21" s="15"/>
    </row>
    <row r="22" customFormat="false" ht="15" hidden="false" customHeight="true" outlineLevel="0" collapsed="false">
      <c r="A22" s="16" t="s">
        <v>224</v>
      </c>
      <c r="B22" s="17" t="s">
        <v>225</v>
      </c>
      <c r="C22" s="17" t="s">
        <v>215</v>
      </c>
      <c r="D22" s="16" t="s">
        <v>61</v>
      </c>
      <c r="E22" s="16" t="s">
        <v>226</v>
      </c>
      <c r="F22" s="16"/>
      <c r="G22" s="16"/>
      <c r="H22" s="16"/>
      <c r="I22" s="17"/>
    </row>
    <row r="23" customFormat="false" ht="15" hidden="false" customHeight="true" outlineLevel="0" collapsed="false">
      <c r="A23" s="14" t="s">
        <v>227</v>
      </c>
      <c r="B23" s="15" t="s">
        <v>228</v>
      </c>
      <c r="C23" s="15" t="s">
        <v>215</v>
      </c>
      <c r="D23" s="14" t="s">
        <v>61</v>
      </c>
      <c r="E23" s="14" t="s">
        <v>62</v>
      </c>
      <c r="F23" s="14"/>
      <c r="G23" s="14"/>
      <c r="H23" s="14"/>
      <c r="I23" s="15"/>
    </row>
    <row r="24" customFormat="false" ht="15" hidden="false" customHeight="true" outlineLevel="0" collapsed="false">
      <c r="A24" s="16" t="s">
        <v>229</v>
      </c>
      <c r="B24" s="17" t="s">
        <v>230</v>
      </c>
      <c r="C24" s="17" t="s">
        <v>215</v>
      </c>
      <c r="D24" s="16" t="s">
        <v>61</v>
      </c>
      <c r="E24" s="16" t="s">
        <v>106</v>
      </c>
      <c r="F24" s="16"/>
      <c r="G24" s="16"/>
      <c r="H24" s="16"/>
      <c r="I24" s="17"/>
    </row>
    <row r="25" customFormat="false" ht="3.75" hidden="false" customHeight="true" outlineLevel="0" collapsed="false"/>
    <row r="26" customFormat="false" ht="16.5" hidden="false" customHeight="true" outlineLevel="0" collapsed="false">
      <c r="A26" s="18" t="s">
        <v>231</v>
      </c>
      <c r="B26" s="18"/>
      <c r="C26" s="18"/>
      <c r="D26" s="18"/>
      <c r="E26" s="18"/>
      <c r="F26" s="18"/>
      <c r="G26" s="18"/>
      <c r="H26" s="18"/>
      <c r="I26" s="18"/>
    </row>
    <row r="27" customFormat="false" ht="15" hidden="false" customHeight="true" outlineLevel="0" collapsed="false">
      <c r="A27" s="14" t="s">
        <v>232</v>
      </c>
      <c r="B27" s="15" t="s">
        <v>233</v>
      </c>
      <c r="C27" s="15" t="s">
        <v>234</v>
      </c>
      <c r="D27" s="14" t="s">
        <v>235</v>
      </c>
      <c r="E27" s="14" t="s">
        <v>62</v>
      </c>
      <c r="F27" s="14"/>
      <c r="G27" s="14"/>
      <c r="H27" s="14"/>
      <c r="I27" s="15"/>
    </row>
    <row r="28" customFormat="false" ht="15" hidden="false" customHeight="true" outlineLevel="0" collapsed="false">
      <c r="A28" s="16" t="s">
        <v>236</v>
      </c>
      <c r="B28" s="17" t="s">
        <v>237</v>
      </c>
      <c r="C28" s="17" t="s">
        <v>234</v>
      </c>
      <c r="D28" s="16" t="s">
        <v>238</v>
      </c>
      <c r="E28" s="16" t="s">
        <v>239</v>
      </c>
      <c r="F28" s="16"/>
      <c r="G28" s="16"/>
      <c r="H28" s="16"/>
      <c r="I28" s="17"/>
    </row>
    <row r="29" customFormat="false" ht="15" hidden="false" customHeight="true" outlineLevel="0" collapsed="false">
      <c r="A29" s="14" t="s">
        <v>240</v>
      </c>
      <c r="B29" s="15" t="s">
        <v>241</v>
      </c>
      <c r="C29" s="15" t="s">
        <v>234</v>
      </c>
      <c r="D29" s="14" t="s">
        <v>238</v>
      </c>
      <c r="E29" s="14" t="s">
        <v>239</v>
      </c>
      <c r="F29" s="14"/>
      <c r="G29" s="14"/>
      <c r="H29" s="14"/>
      <c r="I29" s="15" t="s">
        <v>242</v>
      </c>
    </row>
    <row r="30" customFormat="false" ht="15" hidden="false" customHeight="true" outlineLevel="0" collapsed="false">
      <c r="A30" s="16" t="s">
        <v>243</v>
      </c>
      <c r="B30" s="17" t="s">
        <v>244</v>
      </c>
      <c r="C30" s="17" t="s">
        <v>234</v>
      </c>
      <c r="D30" s="16" t="s">
        <v>238</v>
      </c>
      <c r="E30" s="16" t="s">
        <v>239</v>
      </c>
      <c r="F30" s="16"/>
      <c r="G30" s="16"/>
      <c r="H30" s="16"/>
      <c r="I30" s="17"/>
    </row>
    <row r="31" customFormat="false" ht="15" hidden="false" customHeight="true" outlineLevel="0" collapsed="false">
      <c r="A31" s="14" t="s">
        <v>245</v>
      </c>
      <c r="B31" s="15" t="s">
        <v>246</v>
      </c>
      <c r="C31" s="15" t="s">
        <v>234</v>
      </c>
      <c r="D31" s="14" t="s">
        <v>61</v>
      </c>
      <c r="E31" s="14" t="s">
        <v>91</v>
      </c>
      <c r="F31" s="14"/>
      <c r="G31" s="14"/>
      <c r="H31" s="14"/>
      <c r="I31" s="15" t="s">
        <v>247</v>
      </c>
    </row>
    <row r="32" customFormat="false" ht="15" hidden="false" customHeight="true" outlineLevel="0" collapsed="false">
      <c r="A32" s="16" t="s">
        <v>248</v>
      </c>
      <c r="B32" s="17" t="s">
        <v>249</v>
      </c>
      <c r="C32" s="17" t="s">
        <v>234</v>
      </c>
      <c r="D32" s="16" t="s">
        <v>61</v>
      </c>
      <c r="E32" s="16" t="s">
        <v>88</v>
      </c>
      <c r="F32" s="16"/>
      <c r="G32" s="16"/>
      <c r="H32" s="16"/>
      <c r="I32" s="17"/>
    </row>
    <row r="33" customFormat="false" ht="15" hidden="false" customHeight="true" outlineLevel="0" collapsed="false">
      <c r="A33" s="14" t="s">
        <v>250</v>
      </c>
      <c r="B33" s="15" t="s">
        <v>251</v>
      </c>
      <c r="C33" s="15" t="s">
        <v>234</v>
      </c>
      <c r="D33" s="14" t="s">
        <v>61</v>
      </c>
      <c r="E33" s="14" t="s">
        <v>75</v>
      </c>
      <c r="F33" s="14"/>
      <c r="G33" s="14"/>
      <c r="H33" s="14"/>
      <c r="I33" s="15"/>
    </row>
    <row r="34" customFormat="false" ht="15" hidden="false" customHeight="true" outlineLevel="0" collapsed="false">
      <c r="A34" s="16" t="s">
        <v>252</v>
      </c>
      <c r="B34" s="17" t="s">
        <v>253</v>
      </c>
      <c r="C34" s="17" t="s">
        <v>234</v>
      </c>
      <c r="D34" s="16" t="s">
        <v>254</v>
      </c>
      <c r="E34" s="16" t="s">
        <v>145</v>
      </c>
      <c r="F34" s="16"/>
      <c r="G34" s="16"/>
      <c r="H34" s="16"/>
      <c r="I34" s="17"/>
    </row>
    <row r="35" customFormat="false" ht="15" hidden="false" customHeight="true" outlineLevel="0" collapsed="false">
      <c r="A35" s="14" t="s">
        <v>255</v>
      </c>
      <c r="B35" s="15" t="s">
        <v>256</v>
      </c>
      <c r="C35" s="15" t="s">
        <v>234</v>
      </c>
      <c r="D35" s="14" t="s">
        <v>61</v>
      </c>
      <c r="E35" s="14" t="s">
        <v>91</v>
      </c>
      <c r="F35" s="14"/>
      <c r="G35" s="14"/>
      <c r="H35" s="14"/>
      <c r="I35" s="15"/>
    </row>
    <row r="36" customFormat="false" ht="15" hidden="false" customHeight="true" outlineLevel="0" collapsed="false">
      <c r="A36" s="16" t="s">
        <v>257</v>
      </c>
      <c r="B36" s="17" t="s">
        <v>258</v>
      </c>
      <c r="C36" s="17" t="s">
        <v>234</v>
      </c>
      <c r="D36" s="16" t="s">
        <v>61</v>
      </c>
      <c r="E36" s="16" t="s">
        <v>106</v>
      </c>
      <c r="F36" s="16"/>
      <c r="G36" s="16"/>
      <c r="H36" s="16"/>
      <c r="I36" s="17"/>
    </row>
    <row r="37" customFormat="false" ht="3.75" hidden="false" customHeight="true" outlineLevel="0" collapsed="false"/>
    <row r="38" customFormat="false" ht="16.5" hidden="false" customHeight="true" outlineLevel="0" collapsed="false">
      <c r="A38" s="18" t="s">
        <v>259</v>
      </c>
      <c r="B38" s="18"/>
      <c r="C38" s="18"/>
      <c r="D38" s="18"/>
      <c r="E38" s="18"/>
      <c r="F38" s="18"/>
      <c r="G38" s="18"/>
      <c r="H38" s="18"/>
      <c r="I38" s="18"/>
    </row>
    <row r="39" customFormat="false" ht="15" hidden="false" customHeight="true" outlineLevel="0" collapsed="false">
      <c r="A39" s="14" t="s">
        <v>260</v>
      </c>
      <c r="B39" s="15" t="s">
        <v>261</v>
      </c>
      <c r="C39" s="15" t="s">
        <v>262</v>
      </c>
      <c r="D39" s="14" t="s">
        <v>61</v>
      </c>
      <c r="E39" s="14" t="s">
        <v>226</v>
      </c>
      <c r="F39" s="14"/>
      <c r="G39" s="14"/>
      <c r="H39" s="14"/>
      <c r="I39" s="15"/>
    </row>
    <row r="40" customFormat="false" ht="15" hidden="false" customHeight="true" outlineLevel="0" collapsed="false">
      <c r="A40" s="16" t="s">
        <v>263</v>
      </c>
      <c r="B40" s="17" t="s">
        <v>264</v>
      </c>
      <c r="C40" s="17" t="s">
        <v>262</v>
      </c>
      <c r="D40" s="16" t="s">
        <v>61</v>
      </c>
      <c r="E40" s="16" t="s">
        <v>75</v>
      </c>
      <c r="F40" s="16"/>
      <c r="G40" s="16"/>
      <c r="H40" s="16"/>
      <c r="I40" s="17"/>
    </row>
    <row r="41" customFormat="false" ht="15" hidden="false" customHeight="true" outlineLevel="0" collapsed="false">
      <c r="A41" s="14" t="s">
        <v>265</v>
      </c>
      <c r="B41" s="15" t="s">
        <v>266</v>
      </c>
      <c r="C41" s="15" t="s">
        <v>262</v>
      </c>
      <c r="D41" s="14" t="s">
        <v>61</v>
      </c>
      <c r="E41" s="14" t="s">
        <v>88</v>
      </c>
      <c r="F41" s="14"/>
      <c r="G41" s="14"/>
      <c r="H41" s="14"/>
      <c r="I41" s="15"/>
    </row>
    <row r="42" customFormat="false" ht="15" hidden="false" customHeight="true" outlineLevel="0" collapsed="false">
      <c r="A42" s="16" t="s">
        <v>267</v>
      </c>
      <c r="B42" s="17" t="s">
        <v>268</v>
      </c>
      <c r="C42" s="17" t="s">
        <v>262</v>
      </c>
      <c r="D42" s="16" t="s">
        <v>61</v>
      </c>
      <c r="E42" s="16" t="s">
        <v>88</v>
      </c>
      <c r="F42" s="16"/>
      <c r="G42" s="16"/>
      <c r="H42" s="16"/>
      <c r="I42" s="17" t="s">
        <v>269</v>
      </c>
    </row>
    <row r="43" customFormat="false" ht="15" hidden="false" customHeight="true" outlineLevel="0" collapsed="false">
      <c r="A43" s="14" t="s">
        <v>270</v>
      </c>
      <c r="B43" s="15" t="s">
        <v>271</v>
      </c>
      <c r="C43" s="15" t="s">
        <v>262</v>
      </c>
      <c r="D43" s="14" t="s">
        <v>61</v>
      </c>
      <c r="E43" s="14" t="s">
        <v>142</v>
      </c>
      <c r="F43" s="14"/>
      <c r="G43" s="14"/>
      <c r="H43" s="14"/>
      <c r="I43" s="15"/>
    </row>
    <row r="44" customFormat="false" ht="15" hidden="false" customHeight="true" outlineLevel="0" collapsed="false">
      <c r="A44" s="16" t="s">
        <v>272</v>
      </c>
      <c r="B44" s="17" t="s">
        <v>273</v>
      </c>
      <c r="C44" s="17" t="s">
        <v>262</v>
      </c>
      <c r="D44" s="16" t="s">
        <v>61</v>
      </c>
      <c r="E44" s="16" t="s">
        <v>62</v>
      </c>
      <c r="F44" s="16"/>
      <c r="G44" s="16"/>
      <c r="H44" s="16"/>
      <c r="I44" s="17"/>
    </row>
    <row r="45" customFormat="false" ht="15" hidden="false" customHeight="true" outlineLevel="0" collapsed="false">
      <c r="A45" s="14" t="s">
        <v>274</v>
      </c>
      <c r="B45" s="15" t="s">
        <v>275</v>
      </c>
      <c r="C45" s="15" t="s">
        <v>262</v>
      </c>
      <c r="D45" s="14" t="s">
        <v>61</v>
      </c>
      <c r="E45" s="14" t="s">
        <v>226</v>
      </c>
      <c r="F45" s="14"/>
      <c r="G45" s="14"/>
      <c r="H45" s="14"/>
      <c r="I45" s="15"/>
    </row>
    <row r="46" customFormat="false" ht="15" hidden="false" customHeight="true" outlineLevel="0" collapsed="false">
      <c r="A46" s="16" t="s">
        <v>276</v>
      </c>
      <c r="B46" s="17" t="s">
        <v>277</v>
      </c>
      <c r="C46" s="17" t="s">
        <v>262</v>
      </c>
      <c r="D46" s="16" t="s">
        <v>61</v>
      </c>
      <c r="E46" s="16" t="s">
        <v>226</v>
      </c>
      <c r="F46" s="16"/>
      <c r="G46" s="16"/>
      <c r="H46" s="16"/>
      <c r="I46" s="17"/>
    </row>
    <row r="47" customFormat="false" ht="15" hidden="false" customHeight="true" outlineLevel="0" collapsed="false">
      <c r="A47" s="14" t="s">
        <v>278</v>
      </c>
      <c r="B47" s="15" t="s">
        <v>279</v>
      </c>
      <c r="C47" s="15" t="s">
        <v>262</v>
      </c>
      <c r="D47" s="14" t="s">
        <v>61</v>
      </c>
      <c r="E47" s="14" t="s">
        <v>88</v>
      </c>
      <c r="F47" s="14"/>
      <c r="G47" s="14"/>
      <c r="H47" s="14"/>
      <c r="I47" s="15"/>
    </row>
    <row r="48" customFormat="false" ht="15" hidden="false" customHeight="true" outlineLevel="0" collapsed="false">
      <c r="A48" s="16" t="s">
        <v>280</v>
      </c>
      <c r="B48" s="17" t="s">
        <v>281</v>
      </c>
      <c r="C48" s="17" t="s">
        <v>262</v>
      </c>
      <c r="D48" s="16" t="s">
        <v>61</v>
      </c>
      <c r="E48" s="16" t="s">
        <v>62</v>
      </c>
      <c r="F48" s="16"/>
      <c r="G48" s="16"/>
      <c r="H48" s="16"/>
      <c r="I48" s="17"/>
    </row>
    <row r="49" customFormat="false" ht="3.75" hidden="false" customHeight="true" outlineLevel="0" collapsed="false"/>
    <row r="50" customFormat="false" ht="16.5" hidden="false" customHeight="true" outlineLevel="0" collapsed="false">
      <c r="A50" s="18" t="s">
        <v>282</v>
      </c>
      <c r="B50" s="18"/>
      <c r="C50" s="18"/>
      <c r="D50" s="18"/>
      <c r="E50" s="18"/>
      <c r="F50" s="18"/>
      <c r="G50" s="18"/>
      <c r="H50" s="18"/>
      <c r="I50" s="18"/>
    </row>
    <row r="51" customFormat="false" ht="15" hidden="false" customHeight="true" outlineLevel="0" collapsed="false">
      <c r="A51" s="14" t="s">
        <v>283</v>
      </c>
      <c r="B51" s="15" t="s">
        <v>284</v>
      </c>
      <c r="C51" s="15" t="s">
        <v>285</v>
      </c>
      <c r="D51" s="14" t="s">
        <v>61</v>
      </c>
      <c r="E51" s="14" t="s">
        <v>142</v>
      </c>
      <c r="F51" s="14"/>
      <c r="G51" s="14"/>
      <c r="H51" s="14"/>
      <c r="I51" s="15" t="s">
        <v>247</v>
      </c>
    </row>
    <row r="52" customFormat="false" ht="15" hidden="false" customHeight="true" outlineLevel="0" collapsed="false">
      <c r="A52" s="16" t="s">
        <v>286</v>
      </c>
      <c r="B52" s="17" t="s">
        <v>287</v>
      </c>
      <c r="C52" s="17" t="s">
        <v>285</v>
      </c>
      <c r="D52" s="16" t="s">
        <v>61</v>
      </c>
      <c r="E52" s="16" t="s">
        <v>142</v>
      </c>
      <c r="F52" s="16"/>
      <c r="G52" s="16"/>
      <c r="H52" s="16"/>
      <c r="I52" s="17" t="s">
        <v>247</v>
      </c>
    </row>
    <row r="53" customFormat="false" ht="15" hidden="false" customHeight="true" outlineLevel="0" collapsed="false">
      <c r="A53" s="14" t="s">
        <v>288</v>
      </c>
      <c r="B53" s="15" t="s">
        <v>289</v>
      </c>
      <c r="C53" s="15" t="s">
        <v>285</v>
      </c>
      <c r="D53" s="14" t="s">
        <v>61</v>
      </c>
      <c r="E53" s="14" t="s">
        <v>91</v>
      </c>
      <c r="F53" s="14"/>
      <c r="G53" s="14"/>
      <c r="H53" s="14"/>
      <c r="I53" s="15"/>
    </row>
    <row r="54" customFormat="false" ht="15" hidden="false" customHeight="true" outlineLevel="0" collapsed="false">
      <c r="A54" s="16" t="s">
        <v>290</v>
      </c>
      <c r="B54" s="17" t="s">
        <v>291</v>
      </c>
      <c r="C54" s="17" t="s">
        <v>292</v>
      </c>
      <c r="D54" s="16" t="s">
        <v>254</v>
      </c>
      <c r="E54" s="16" t="s">
        <v>239</v>
      </c>
      <c r="F54" s="16"/>
      <c r="G54" s="16"/>
      <c r="H54" s="16"/>
      <c r="I54" s="17"/>
    </row>
    <row r="55" customFormat="false" ht="15" hidden="false" customHeight="true" outlineLevel="0" collapsed="false">
      <c r="A55" s="14" t="s">
        <v>293</v>
      </c>
      <c r="B55" s="15" t="s">
        <v>294</v>
      </c>
      <c r="C55" s="15" t="s">
        <v>292</v>
      </c>
      <c r="D55" s="14" t="s">
        <v>254</v>
      </c>
      <c r="E55" s="14" t="s">
        <v>75</v>
      </c>
      <c r="F55" s="14"/>
      <c r="G55" s="14"/>
      <c r="H55" s="14"/>
      <c r="I55" s="15"/>
    </row>
    <row r="56" customFormat="false" ht="15" hidden="false" customHeight="true" outlineLevel="0" collapsed="false">
      <c r="A56" s="16" t="s">
        <v>295</v>
      </c>
      <c r="B56" s="17" t="s">
        <v>296</v>
      </c>
      <c r="C56" s="17" t="s">
        <v>292</v>
      </c>
      <c r="D56" s="16" t="s">
        <v>61</v>
      </c>
      <c r="E56" s="16" t="s">
        <v>88</v>
      </c>
      <c r="F56" s="16"/>
      <c r="G56" s="16"/>
      <c r="H56" s="16"/>
      <c r="I56" s="17"/>
    </row>
    <row r="57" customFormat="false" ht="15" hidden="false" customHeight="true" outlineLevel="0" collapsed="false">
      <c r="A57" s="14" t="s">
        <v>297</v>
      </c>
      <c r="B57" s="15" t="s">
        <v>298</v>
      </c>
      <c r="C57" s="15" t="s">
        <v>292</v>
      </c>
      <c r="D57" s="14" t="s">
        <v>61</v>
      </c>
      <c r="E57" s="14" t="s">
        <v>239</v>
      </c>
      <c r="F57" s="14"/>
      <c r="G57" s="14"/>
      <c r="H57" s="14"/>
      <c r="I57" s="15"/>
    </row>
    <row r="58" customFormat="false" ht="15" hidden="false" customHeight="true" outlineLevel="0" collapsed="false">
      <c r="A58" s="16" t="s">
        <v>299</v>
      </c>
      <c r="B58" s="17" t="s">
        <v>300</v>
      </c>
      <c r="C58" s="17" t="s">
        <v>292</v>
      </c>
      <c r="D58" s="16" t="s">
        <v>61</v>
      </c>
      <c r="E58" s="16" t="s">
        <v>75</v>
      </c>
      <c r="F58" s="16"/>
      <c r="G58" s="16"/>
      <c r="H58" s="16"/>
      <c r="I58" s="17"/>
    </row>
    <row r="59" customFormat="false" ht="3.75" hidden="false" customHeight="true" outlineLevel="0" collapsed="false"/>
    <row r="60" customFormat="false" ht="4.5" hidden="false" customHeight="true" outlineLevel="0" collapsed="false"/>
    <row r="61" customFormat="false" ht="18" hidden="false" customHeight="true" outlineLevel="0" collapsed="false">
      <c r="A61" s="12" t="s">
        <v>47</v>
      </c>
      <c r="B61" s="12"/>
      <c r="C61" s="12"/>
      <c r="D61" s="12"/>
      <c r="E61" s="12"/>
      <c r="F61" s="12"/>
      <c r="G61" s="12"/>
      <c r="H61" s="12"/>
      <c r="I61" s="12"/>
    </row>
  </sheetData>
  <mergeCells count="9">
    <mergeCell ref="A1:E1"/>
    <mergeCell ref="F1:I1"/>
    <mergeCell ref="A2:I2"/>
    <mergeCell ref="A4:I4"/>
    <mergeCell ref="A16:I16"/>
    <mergeCell ref="A26:I26"/>
    <mergeCell ref="A38:I38"/>
    <mergeCell ref="A50:I50"/>
    <mergeCell ref="A61:I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301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13" t="s">
        <v>49</v>
      </c>
      <c r="B3" s="13" t="s">
        <v>302</v>
      </c>
      <c r="C3" s="13" t="s">
        <v>188</v>
      </c>
      <c r="D3" s="13" t="s">
        <v>52</v>
      </c>
      <c r="E3" s="13" t="s">
        <v>53</v>
      </c>
      <c r="F3" s="13" t="s">
        <v>54</v>
      </c>
      <c r="G3" s="13" t="s">
        <v>303</v>
      </c>
      <c r="H3" s="13" t="s">
        <v>304</v>
      </c>
      <c r="I3" s="13" t="s">
        <v>305</v>
      </c>
      <c r="J3" s="13" t="s">
        <v>57</v>
      </c>
    </row>
    <row r="4" customFormat="false" ht="16.5" hidden="false" customHeight="true" outlineLevel="0" collapsed="false">
      <c r="A4" s="18" t="s">
        <v>306</v>
      </c>
      <c r="B4" s="18"/>
      <c r="C4" s="18"/>
      <c r="D4" s="18"/>
      <c r="E4" s="18"/>
      <c r="F4" s="18"/>
      <c r="G4" s="18"/>
      <c r="H4" s="18"/>
      <c r="I4" s="18"/>
      <c r="J4" s="18"/>
    </row>
    <row r="5" customFormat="false" ht="15" hidden="false" customHeight="true" outlineLevel="0" collapsed="false">
      <c r="A5" s="14" t="s">
        <v>307</v>
      </c>
      <c r="B5" s="15" t="s">
        <v>308</v>
      </c>
      <c r="C5" s="15" t="s">
        <v>309</v>
      </c>
      <c r="D5" s="14" t="s">
        <v>61</v>
      </c>
      <c r="E5" s="14" t="s">
        <v>142</v>
      </c>
      <c r="F5" s="14"/>
      <c r="G5" s="14"/>
      <c r="H5" s="14"/>
      <c r="I5" s="14"/>
      <c r="J5" s="15" t="s">
        <v>310</v>
      </c>
    </row>
    <row r="6" customFormat="false" ht="15" hidden="false" customHeight="true" outlineLevel="0" collapsed="false">
      <c r="A6" s="16" t="s">
        <v>311</v>
      </c>
      <c r="B6" s="17" t="s">
        <v>312</v>
      </c>
      <c r="C6" s="17" t="s">
        <v>309</v>
      </c>
      <c r="D6" s="16" t="s">
        <v>61</v>
      </c>
      <c r="E6" s="16" t="s">
        <v>142</v>
      </c>
      <c r="F6" s="16"/>
      <c r="G6" s="16"/>
      <c r="H6" s="16"/>
      <c r="I6" s="16"/>
      <c r="J6" s="17" t="s">
        <v>310</v>
      </c>
    </row>
    <row r="7" customFormat="false" ht="15" hidden="false" customHeight="true" outlineLevel="0" collapsed="false">
      <c r="A7" s="14" t="s">
        <v>313</v>
      </c>
      <c r="B7" s="15" t="s">
        <v>314</v>
      </c>
      <c r="C7" s="15" t="s">
        <v>309</v>
      </c>
      <c r="D7" s="14" t="s">
        <v>61</v>
      </c>
      <c r="E7" s="14" t="s">
        <v>315</v>
      </c>
      <c r="F7" s="14"/>
      <c r="G7" s="14"/>
      <c r="H7" s="14"/>
      <c r="I7" s="14"/>
      <c r="J7" s="15"/>
    </row>
    <row r="8" customFormat="false" ht="15" hidden="false" customHeight="true" outlineLevel="0" collapsed="false">
      <c r="A8" s="16" t="s">
        <v>316</v>
      </c>
      <c r="B8" s="17" t="s">
        <v>317</v>
      </c>
      <c r="C8" s="17" t="s">
        <v>318</v>
      </c>
      <c r="D8" s="16" t="s">
        <v>61</v>
      </c>
      <c r="E8" s="16" t="s">
        <v>149</v>
      </c>
      <c r="F8" s="16"/>
      <c r="G8" s="16"/>
      <c r="H8" s="16"/>
      <c r="I8" s="16"/>
      <c r="J8" s="17"/>
    </row>
    <row r="9" customFormat="false" ht="15" hidden="false" customHeight="true" outlineLevel="0" collapsed="false">
      <c r="A9" s="14" t="s">
        <v>319</v>
      </c>
      <c r="B9" s="15" t="s">
        <v>320</v>
      </c>
      <c r="C9" s="15" t="s">
        <v>318</v>
      </c>
      <c r="D9" s="14" t="s">
        <v>61</v>
      </c>
      <c r="E9" s="14" t="s">
        <v>142</v>
      </c>
      <c r="F9" s="14"/>
      <c r="G9" s="14"/>
      <c r="H9" s="14"/>
      <c r="I9" s="14"/>
      <c r="J9" s="15"/>
    </row>
    <row r="10" customFormat="false" ht="15" hidden="false" customHeight="true" outlineLevel="0" collapsed="false">
      <c r="A10" s="16" t="s">
        <v>321</v>
      </c>
      <c r="B10" s="17" t="s">
        <v>322</v>
      </c>
      <c r="C10" s="17" t="s">
        <v>323</v>
      </c>
      <c r="D10" s="16" t="s">
        <v>61</v>
      </c>
      <c r="E10" s="16" t="s">
        <v>315</v>
      </c>
      <c r="F10" s="16"/>
      <c r="G10" s="16"/>
      <c r="H10" s="16"/>
      <c r="I10" s="16"/>
      <c r="J10" s="17"/>
    </row>
    <row r="11" customFormat="false" ht="15" hidden="false" customHeight="true" outlineLevel="0" collapsed="false">
      <c r="A11" s="14" t="s">
        <v>324</v>
      </c>
      <c r="B11" s="15" t="s">
        <v>325</v>
      </c>
      <c r="C11" s="15" t="s">
        <v>326</v>
      </c>
      <c r="D11" s="14" t="s">
        <v>61</v>
      </c>
      <c r="E11" s="14" t="s">
        <v>185</v>
      </c>
      <c r="F11" s="14"/>
      <c r="G11" s="14"/>
      <c r="H11" s="14"/>
      <c r="I11" s="14"/>
      <c r="J11" s="15" t="s">
        <v>327</v>
      </c>
    </row>
    <row r="12" customFormat="false" ht="15" hidden="false" customHeight="true" outlineLevel="0" collapsed="false">
      <c r="A12" s="16" t="s">
        <v>328</v>
      </c>
      <c r="B12" s="17" t="s">
        <v>329</v>
      </c>
      <c r="C12" s="17" t="s">
        <v>326</v>
      </c>
      <c r="D12" s="16" t="s">
        <v>61</v>
      </c>
      <c r="E12" s="16" t="s">
        <v>106</v>
      </c>
      <c r="F12" s="16"/>
      <c r="G12" s="16"/>
      <c r="H12" s="16"/>
      <c r="I12" s="16"/>
      <c r="J12" s="17"/>
    </row>
    <row r="13" customFormat="false" ht="15" hidden="false" customHeight="true" outlineLevel="0" collapsed="false">
      <c r="A13" s="14" t="s">
        <v>330</v>
      </c>
      <c r="B13" s="15" t="s">
        <v>331</v>
      </c>
      <c r="C13" s="15" t="s">
        <v>332</v>
      </c>
      <c r="D13" s="14" t="s">
        <v>61</v>
      </c>
      <c r="E13" s="14" t="s">
        <v>142</v>
      </c>
      <c r="F13" s="14"/>
      <c r="G13" s="14"/>
      <c r="H13" s="14"/>
      <c r="I13" s="14"/>
      <c r="J13" s="15"/>
    </row>
    <row r="14" customFormat="false" ht="15" hidden="false" customHeight="true" outlineLevel="0" collapsed="false">
      <c r="A14" s="16" t="s">
        <v>333</v>
      </c>
      <c r="B14" s="17" t="s">
        <v>334</v>
      </c>
      <c r="C14" s="17" t="s">
        <v>335</v>
      </c>
      <c r="D14" s="16" t="s">
        <v>61</v>
      </c>
      <c r="E14" s="16" t="s">
        <v>185</v>
      </c>
      <c r="F14" s="16"/>
      <c r="G14" s="16"/>
      <c r="H14" s="16"/>
      <c r="I14" s="16"/>
      <c r="J14" s="17"/>
    </row>
    <row r="15" customFormat="false" ht="3.75" hidden="false" customHeight="true" outlineLevel="0" collapsed="false"/>
    <row r="16" customFormat="false" ht="16.5" hidden="false" customHeight="true" outlineLevel="0" collapsed="false">
      <c r="A16" s="18" t="s">
        <v>336</v>
      </c>
      <c r="B16" s="18"/>
      <c r="C16" s="18"/>
      <c r="D16" s="18"/>
      <c r="E16" s="18"/>
      <c r="F16" s="18"/>
      <c r="G16" s="18"/>
      <c r="H16" s="18"/>
      <c r="I16" s="18"/>
      <c r="J16" s="18"/>
    </row>
    <row r="17" customFormat="false" ht="15" hidden="false" customHeight="true" outlineLevel="0" collapsed="false">
      <c r="A17" s="14" t="s">
        <v>337</v>
      </c>
      <c r="B17" s="15" t="s">
        <v>338</v>
      </c>
      <c r="C17" s="15" t="s">
        <v>339</v>
      </c>
      <c r="D17" s="14" t="s">
        <v>61</v>
      </c>
      <c r="E17" s="14" t="s">
        <v>315</v>
      </c>
      <c r="F17" s="14"/>
      <c r="G17" s="14"/>
      <c r="H17" s="14"/>
      <c r="I17" s="14"/>
      <c r="J17" s="15" t="s">
        <v>340</v>
      </c>
    </row>
    <row r="18" customFormat="false" ht="15" hidden="false" customHeight="true" outlineLevel="0" collapsed="false">
      <c r="A18" s="16" t="s">
        <v>341</v>
      </c>
      <c r="B18" s="17" t="s">
        <v>342</v>
      </c>
      <c r="C18" s="17" t="s">
        <v>339</v>
      </c>
      <c r="D18" s="16" t="s">
        <v>61</v>
      </c>
      <c r="E18" s="16" t="s">
        <v>343</v>
      </c>
      <c r="F18" s="16"/>
      <c r="G18" s="16"/>
      <c r="H18" s="16"/>
      <c r="I18" s="16"/>
      <c r="J18" s="17"/>
    </row>
    <row r="19" customFormat="false" ht="15" hidden="false" customHeight="true" outlineLevel="0" collapsed="false">
      <c r="A19" s="14" t="s">
        <v>344</v>
      </c>
      <c r="B19" s="15" t="s">
        <v>345</v>
      </c>
      <c r="C19" s="15" t="s">
        <v>339</v>
      </c>
      <c r="D19" s="14" t="s">
        <v>61</v>
      </c>
      <c r="E19" s="14" t="s">
        <v>346</v>
      </c>
      <c r="F19" s="14"/>
      <c r="G19" s="14"/>
      <c r="H19" s="14"/>
      <c r="I19" s="14"/>
      <c r="J19" s="15" t="s">
        <v>347</v>
      </c>
    </row>
    <row r="20" customFormat="false" ht="15" hidden="false" customHeight="true" outlineLevel="0" collapsed="false">
      <c r="A20" s="16" t="s">
        <v>348</v>
      </c>
      <c r="B20" s="17" t="s">
        <v>349</v>
      </c>
      <c r="C20" s="17" t="s">
        <v>339</v>
      </c>
      <c r="D20" s="16" t="s">
        <v>61</v>
      </c>
      <c r="E20" s="16" t="s">
        <v>350</v>
      </c>
      <c r="F20" s="16"/>
      <c r="G20" s="16"/>
      <c r="H20" s="16"/>
      <c r="I20" s="16"/>
      <c r="J20" s="17"/>
    </row>
    <row r="21" customFormat="false" ht="15" hidden="false" customHeight="true" outlineLevel="0" collapsed="false">
      <c r="A21" s="14" t="s">
        <v>351</v>
      </c>
      <c r="B21" s="15" t="s">
        <v>352</v>
      </c>
      <c r="C21" s="15" t="s">
        <v>339</v>
      </c>
      <c r="D21" s="14" t="s">
        <v>353</v>
      </c>
      <c r="E21" s="14" t="s">
        <v>75</v>
      </c>
      <c r="F21" s="14"/>
      <c r="G21" s="14"/>
      <c r="H21" s="14"/>
      <c r="I21" s="14"/>
      <c r="J21" s="15" t="s">
        <v>354</v>
      </c>
    </row>
    <row r="22" customFormat="false" ht="15" hidden="false" customHeight="true" outlineLevel="0" collapsed="false">
      <c r="A22" s="16" t="s">
        <v>355</v>
      </c>
      <c r="B22" s="17" t="s">
        <v>356</v>
      </c>
      <c r="C22" s="17" t="s">
        <v>339</v>
      </c>
      <c r="D22" s="16" t="s">
        <v>61</v>
      </c>
      <c r="E22" s="16" t="s">
        <v>106</v>
      </c>
      <c r="F22" s="16"/>
      <c r="G22" s="16"/>
      <c r="H22" s="16"/>
      <c r="I22" s="16"/>
      <c r="J22" s="17"/>
    </row>
    <row r="23" customFormat="false" ht="15" hidden="false" customHeight="true" outlineLevel="0" collapsed="false">
      <c r="A23" s="14" t="s">
        <v>357</v>
      </c>
      <c r="B23" s="15" t="s">
        <v>358</v>
      </c>
      <c r="C23" s="15" t="s">
        <v>339</v>
      </c>
      <c r="D23" s="14" t="s">
        <v>61</v>
      </c>
      <c r="E23" s="14" t="s">
        <v>142</v>
      </c>
      <c r="F23" s="14"/>
      <c r="G23" s="14"/>
      <c r="H23" s="14"/>
      <c r="I23" s="14"/>
      <c r="J23" s="15"/>
    </row>
    <row r="24" customFormat="false" ht="15" hidden="false" customHeight="true" outlineLevel="0" collapsed="false">
      <c r="A24" s="16" t="s">
        <v>359</v>
      </c>
      <c r="B24" s="17" t="s">
        <v>360</v>
      </c>
      <c r="C24" s="17" t="s">
        <v>361</v>
      </c>
      <c r="D24" s="16" t="s">
        <v>61</v>
      </c>
      <c r="E24" s="16" t="s">
        <v>142</v>
      </c>
      <c r="F24" s="16"/>
      <c r="G24" s="16"/>
      <c r="H24" s="16"/>
      <c r="I24" s="16"/>
      <c r="J24" s="17"/>
    </row>
    <row r="25" customFormat="false" ht="15" hidden="false" customHeight="true" outlineLevel="0" collapsed="false">
      <c r="A25" s="14" t="s">
        <v>362</v>
      </c>
      <c r="B25" s="15" t="s">
        <v>363</v>
      </c>
      <c r="C25" s="15" t="s">
        <v>361</v>
      </c>
      <c r="D25" s="14" t="s">
        <v>61</v>
      </c>
      <c r="E25" s="14" t="s">
        <v>185</v>
      </c>
      <c r="F25" s="14"/>
      <c r="G25" s="14"/>
      <c r="H25" s="14"/>
      <c r="I25" s="14"/>
      <c r="J25" s="15"/>
    </row>
    <row r="26" customFormat="false" ht="15" hidden="false" customHeight="true" outlineLevel="0" collapsed="false">
      <c r="A26" s="16" t="s">
        <v>364</v>
      </c>
      <c r="B26" s="17" t="s">
        <v>365</v>
      </c>
      <c r="C26" s="17" t="s">
        <v>366</v>
      </c>
      <c r="D26" s="16" t="s">
        <v>61</v>
      </c>
      <c r="E26" s="16" t="s">
        <v>343</v>
      </c>
      <c r="F26" s="16"/>
      <c r="G26" s="16"/>
      <c r="H26" s="16"/>
      <c r="I26" s="16"/>
      <c r="J26" s="17" t="s">
        <v>161</v>
      </c>
    </row>
    <row r="27" customFormat="false" ht="3.75" hidden="false" customHeight="true" outlineLevel="0" collapsed="false"/>
    <row r="28" customFormat="false" ht="16.5" hidden="false" customHeight="true" outlineLevel="0" collapsed="false">
      <c r="A28" s="18" t="s">
        <v>367</v>
      </c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5" hidden="false" customHeight="true" outlineLevel="0" collapsed="false">
      <c r="A29" s="14" t="s">
        <v>368</v>
      </c>
      <c r="B29" s="15" t="s">
        <v>369</v>
      </c>
      <c r="C29" s="15" t="s">
        <v>292</v>
      </c>
      <c r="D29" s="14" t="s">
        <v>254</v>
      </c>
      <c r="E29" s="14" t="s">
        <v>370</v>
      </c>
      <c r="F29" s="14"/>
      <c r="G29" s="14"/>
      <c r="H29" s="14"/>
      <c r="I29" s="14"/>
      <c r="J29" s="15"/>
    </row>
    <row r="30" customFormat="false" ht="15" hidden="false" customHeight="true" outlineLevel="0" collapsed="false">
      <c r="A30" s="16" t="s">
        <v>371</v>
      </c>
      <c r="B30" s="17" t="s">
        <v>372</v>
      </c>
      <c r="C30" s="17" t="s">
        <v>292</v>
      </c>
      <c r="D30" s="16" t="s">
        <v>254</v>
      </c>
      <c r="E30" s="16" t="s">
        <v>373</v>
      </c>
      <c r="F30" s="16"/>
      <c r="G30" s="16"/>
      <c r="H30" s="16"/>
      <c r="I30" s="16"/>
      <c r="J30" s="17"/>
    </row>
    <row r="31" customFormat="false" ht="15" hidden="false" customHeight="true" outlineLevel="0" collapsed="false">
      <c r="A31" s="14" t="s">
        <v>374</v>
      </c>
      <c r="B31" s="15" t="s">
        <v>375</v>
      </c>
      <c r="C31" s="15" t="s">
        <v>292</v>
      </c>
      <c r="D31" s="14" t="s">
        <v>61</v>
      </c>
      <c r="E31" s="14" t="s">
        <v>75</v>
      </c>
      <c r="F31" s="14"/>
      <c r="G31" s="14"/>
      <c r="H31" s="14"/>
      <c r="I31" s="14"/>
      <c r="J31" s="15"/>
    </row>
    <row r="32" customFormat="false" ht="15" hidden="false" customHeight="true" outlineLevel="0" collapsed="false">
      <c r="A32" s="16" t="s">
        <v>376</v>
      </c>
      <c r="B32" s="17" t="s">
        <v>377</v>
      </c>
      <c r="C32" s="17" t="s">
        <v>292</v>
      </c>
      <c r="D32" s="16" t="s">
        <v>61</v>
      </c>
      <c r="E32" s="16" t="s">
        <v>75</v>
      </c>
      <c r="F32" s="16"/>
      <c r="G32" s="16"/>
      <c r="H32" s="16"/>
      <c r="I32" s="16"/>
      <c r="J32" s="17"/>
    </row>
    <row r="33" customFormat="false" ht="15" hidden="false" customHeight="true" outlineLevel="0" collapsed="false">
      <c r="A33" s="14" t="s">
        <v>378</v>
      </c>
      <c r="B33" s="15" t="s">
        <v>379</v>
      </c>
      <c r="C33" s="15" t="s">
        <v>380</v>
      </c>
      <c r="D33" s="14" t="s">
        <v>61</v>
      </c>
      <c r="E33" s="14" t="s">
        <v>88</v>
      </c>
      <c r="F33" s="14"/>
      <c r="G33" s="14"/>
      <c r="H33" s="14"/>
      <c r="I33" s="14"/>
      <c r="J33" s="15"/>
    </row>
    <row r="34" customFormat="false" ht="15" hidden="false" customHeight="true" outlineLevel="0" collapsed="false">
      <c r="A34" s="16" t="s">
        <v>381</v>
      </c>
      <c r="B34" s="17" t="s">
        <v>382</v>
      </c>
      <c r="C34" s="17" t="s">
        <v>380</v>
      </c>
      <c r="D34" s="16" t="s">
        <v>61</v>
      </c>
      <c r="E34" s="16" t="s">
        <v>142</v>
      </c>
      <c r="F34" s="16"/>
      <c r="G34" s="16"/>
      <c r="H34" s="16"/>
      <c r="I34" s="16"/>
      <c r="J34" s="17"/>
    </row>
    <row r="35" customFormat="false" ht="15" hidden="false" customHeight="true" outlineLevel="0" collapsed="false">
      <c r="A35" s="14" t="s">
        <v>383</v>
      </c>
      <c r="B35" s="15" t="s">
        <v>384</v>
      </c>
      <c r="C35" s="15" t="s">
        <v>380</v>
      </c>
      <c r="D35" s="14" t="s">
        <v>61</v>
      </c>
      <c r="E35" s="14" t="s">
        <v>62</v>
      </c>
      <c r="F35" s="14"/>
      <c r="G35" s="14"/>
      <c r="H35" s="14"/>
      <c r="I35" s="14"/>
      <c r="J35" s="15"/>
    </row>
    <row r="36" customFormat="false" ht="15" hidden="false" customHeight="true" outlineLevel="0" collapsed="false">
      <c r="A36" s="16" t="s">
        <v>385</v>
      </c>
      <c r="B36" s="17" t="s">
        <v>386</v>
      </c>
      <c r="C36" s="17" t="s">
        <v>380</v>
      </c>
      <c r="D36" s="16" t="s">
        <v>387</v>
      </c>
      <c r="E36" s="16" t="s">
        <v>75</v>
      </c>
      <c r="F36" s="16"/>
      <c r="G36" s="16"/>
      <c r="H36" s="16"/>
      <c r="I36" s="16"/>
      <c r="J36" s="17"/>
    </row>
    <row r="37" customFormat="false" ht="15" hidden="false" customHeight="true" outlineLevel="0" collapsed="false">
      <c r="A37" s="14" t="s">
        <v>388</v>
      </c>
      <c r="B37" s="15" t="s">
        <v>389</v>
      </c>
      <c r="C37" s="15" t="s">
        <v>234</v>
      </c>
      <c r="D37" s="14" t="s">
        <v>254</v>
      </c>
      <c r="E37" s="14" t="s">
        <v>145</v>
      </c>
      <c r="F37" s="14"/>
      <c r="G37" s="14"/>
      <c r="H37" s="14"/>
      <c r="I37" s="14"/>
      <c r="J37" s="15"/>
    </row>
    <row r="38" customFormat="false" ht="15" hidden="false" customHeight="true" outlineLevel="0" collapsed="false">
      <c r="A38" s="16" t="s">
        <v>390</v>
      </c>
      <c r="B38" s="17" t="s">
        <v>391</v>
      </c>
      <c r="C38" s="17" t="s">
        <v>392</v>
      </c>
      <c r="D38" s="16" t="s">
        <v>254</v>
      </c>
      <c r="E38" s="16" t="s">
        <v>393</v>
      </c>
      <c r="F38" s="16"/>
      <c r="G38" s="16"/>
      <c r="H38" s="16"/>
      <c r="I38" s="16"/>
      <c r="J38" s="17"/>
    </row>
    <row r="39" customFormat="false" ht="3.75" hidden="false" customHeight="true" outlineLevel="0" collapsed="false"/>
    <row r="40" customFormat="false" ht="4.5" hidden="false" customHeight="true" outlineLevel="0" collapsed="false"/>
    <row r="41" customFormat="false" ht="18" hidden="false" customHeight="true" outlineLevel="0" collapsed="false">
      <c r="A41" s="12" t="s">
        <v>47</v>
      </c>
      <c r="B41" s="12"/>
      <c r="C41" s="12"/>
      <c r="D41" s="12"/>
      <c r="E41" s="12"/>
      <c r="F41" s="12"/>
      <c r="G41" s="12"/>
      <c r="H41" s="12"/>
      <c r="I41" s="12"/>
      <c r="J41" s="12"/>
    </row>
  </sheetData>
  <mergeCells count="7">
    <mergeCell ref="A1:E1"/>
    <mergeCell ref="F1:J1"/>
    <mergeCell ref="A2:J2"/>
    <mergeCell ref="A4:J4"/>
    <mergeCell ref="A16:J16"/>
    <mergeCell ref="A28:J28"/>
    <mergeCell ref="A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</row>
    <row r="2" customFormat="false" ht="21.75" hidden="false" customHeight="true" outlineLevel="0" collapsed="false">
      <c r="A2" s="4" t="s">
        <v>394</v>
      </c>
      <c r="B2" s="4"/>
      <c r="C2" s="4"/>
      <c r="D2" s="4"/>
      <c r="E2" s="4"/>
      <c r="F2" s="4"/>
      <c r="G2" s="4"/>
      <c r="H2" s="4"/>
      <c r="I2" s="4"/>
    </row>
    <row r="3" customFormat="false" ht="18" hidden="false" customHeight="true" outlineLevel="0" collapsed="false">
      <c r="A3" s="13" t="s">
        <v>395</v>
      </c>
      <c r="B3" s="13" t="s">
        <v>396</v>
      </c>
      <c r="C3" s="13" t="s">
        <v>51</v>
      </c>
      <c r="D3" s="13" t="s">
        <v>52</v>
      </c>
      <c r="E3" s="13" t="s">
        <v>397</v>
      </c>
      <c r="F3" s="13" t="s">
        <v>398</v>
      </c>
      <c r="G3" s="13" t="s">
        <v>399</v>
      </c>
      <c r="H3" s="13" t="s">
        <v>400</v>
      </c>
      <c r="I3" s="13" t="s">
        <v>57</v>
      </c>
    </row>
    <row r="4" customFormat="false" ht="16.5" hidden="false" customHeight="true" outlineLevel="0" collapsed="false">
      <c r="A4" s="18" t="s">
        <v>401</v>
      </c>
      <c r="B4" s="18"/>
      <c r="C4" s="18"/>
      <c r="D4" s="18"/>
      <c r="E4" s="18"/>
      <c r="F4" s="18"/>
      <c r="G4" s="18"/>
      <c r="H4" s="18"/>
      <c r="I4" s="18"/>
    </row>
    <row r="5" customFormat="false" ht="15" hidden="false" customHeight="true" outlineLevel="0" collapsed="false">
      <c r="A5" s="14" t="s">
        <v>402</v>
      </c>
      <c r="B5" s="15" t="s">
        <v>403</v>
      </c>
      <c r="C5" s="15" t="s">
        <v>404</v>
      </c>
      <c r="D5" s="14" t="s">
        <v>61</v>
      </c>
      <c r="E5" s="14"/>
      <c r="F5" s="14"/>
      <c r="G5" s="14" t="str">
        <f aca="false">IF(AND(E4&lt;&gt;"",F4&lt;&gt;""),E4*(1+F4/100),"")</f>
        <v/>
      </c>
      <c r="H5" s="15"/>
      <c r="I5" s="15"/>
    </row>
    <row r="6" customFormat="false" ht="15" hidden="false" customHeight="true" outlineLevel="0" collapsed="false">
      <c r="A6" s="16" t="s">
        <v>405</v>
      </c>
      <c r="B6" s="17" t="s">
        <v>406</v>
      </c>
      <c r="C6" s="17" t="s">
        <v>404</v>
      </c>
      <c r="D6" s="16" t="s">
        <v>61</v>
      </c>
      <c r="E6" s="16"/>
      <c r="F6" s="16"/>
      <c r="G6" s="16" t="str">
        <f aca="false">IF(AND(E5&lt;&gt;"",F5&lt;&gt;""),E5*(1+F5/100),"")</f>
        <v/>
      </c>
      <c r="H6" s="17"/>
      <c r="I6" s="17"/>
    </row>
    <row r="7" customFormat="false" ht="15" hidden="false" customHeight="true" outlineLevel="0" collapsed="false">
      <c r="A7" s="14" t="s">
        <v>407</v>
      </c>
      <c r="B7" s="15" t="s">
        <v>408</v>
      </c>
      <c r="C7" s="15" t="s">
        <v>404</v>
      </c>
      <c r="D7" s="14" t="s">
        <v>61</v>
      </c>
      <c r="E7" s="14"/>
      <c r="F7" s="14"/>
      <c r="G7" s="14" t="str">
        <f aca="false">IF(AND(E6&lt;&gt;"",F6&lt;&gt;""),E6*(1+F6/100),"")</f>
        <v/>
      </c>
      <c r="H7" s="15"/>
      <c r="I7" s="15"/>
    </row>
    <row r="8" customFormat="false" ht="15" hidden="false" customHeight="true" outlineLevel="0" collapsed="false">
      <c r="A8" s="16" t="s">
        <v>409</v>
      </c>
      <c r="B8" s="17" t="s">
        <v>410</v>
      </c>
      <c r="C8" s="17" t="s">
        <v>404</v>
      </c>
      <c r="D8" s="16" t="s">
        <v>61</v>
      </c>
      <c r="E8" s="16"/>
      <c r="F8" s="16"/>
      <c r="G8" s="16" t="str">
        <f aca="false">IF(AND(E7&lt;&gt;"",F7&lt;&gt;""),E7*(1+F7/100),"")</f>
        <v/>
      </c>
      <c r="H8" s="17"/>
      <c r="I8" s="17"/>
    </row>
    <row r="9" customFormat="false" ht="15" hidden="false" customHeight="true" outlineLevel="0" collapsed="false">
      <c r="A9" s="14" t="s">
        <v>411</v>
      </c>
      <c r="B9" s="15" t="s">
        <v>412</v>
      </c>
      <c r="C9" s="15" t="s">
        <v>404</v>
      </c>
      <c r="D9" s="14" t="s">
        <v>61</v>
      </c>
      <c r="E9" s="14"/>
      <c r="F9" s="14"/>
      <c r="G9" s="14" t="str">
        <f aca="false">IF(AND(E8&lt;&gt;"",F8&lt;&gt;""),E8*(1+F8/100),"")</f>
        <v/>
      </c>
      <c r="H9" s="15"/>
      <c r="I9" s="15"/>
    </row>
    <row r="10" customFormat="false" ht="15" hidden="false" customHeight="true" outlineLevel="0" collapsed="false">
      <c r="A10" s="16" t="s">
        <v>413</v>
      </c>
      <c r="B10" s="17" t="s">
        <v>414</v>
      </c>
      <c r="C10" s="17" t="s">
        <v>404</v>
      </c>
      <c r="D10" s="16" t="s">
        <v>61</v>
      </c>
      <c r="E10" s="16"/>
      <c r="F10" s="16"/>
      <c r="G10" s="16" t="str">
        <f aca="false">IF(AND(E9&lt;&gt;"",F9&lt;&gt;""),E9*(1+F9/100),"")</f>
        <v/>
      </c>
      <c r="H10" s="17"/>
      <c r="I10" s="17"/>
    </row>
    <row r="11" customFormat="false" ht="3.75" hidden="false" customHeight="true" outlineLevel="0" collapsed="false"/>
    <row r="12" customFormat="false" ht="16.5" hidden="false" customHeight="true" outlineLevel="0" collapsed="false">
      <c r="A12" s="18" t="s">
        <v>415</v>
      </c>
      <c r="B12" s="18"/>
      <c r="C12" s="18"/>
      <c r="D12" s="18"/>
      <c r="E12" s="18"/>
      <c r="F12" s="18"/>
      <c r="G12" s="18"/>
      <c r="H12" s="18"/>
      <c r="I12" s="18"/>
    </row>
    <row r="13" customFormat="false" ht="15" hidden="false" customHeight="true" outlineLevel="0" collapsed="false">
      <c r="A13" s="14" t="s">
        <v>416</v>
      </c>
      <c r="B13" s="15" t="s">
        <v>417</v>
      </c>
      <c r="C13" s="15" t="s">
        <v>192</v>
      </c>
      <c r="D13" s="14" t="s">
        <v>61</v>
      </c>
      <c r="E13" s="14"/>
      <c r="F13" s="14"/>
      <c r="G13" s="14"/>
      <c r="H13" s="15"/>
      <c r="I13" s="15" t="s">
        <v>418</v>
      </c>
    </row>
    <row r="14" customFormat="false" ht="15" hidden="false" customHeight="true" outlineLevel="0" collapsed="false">
      <c r="A14" s="16" t="s">
        <v>419</v>
      </c>
      <c r="B14" s="17" t="s">
        <v>420</v>
      </c>
      <c r="C14" s="17" t="s">
        <v>192</v>
      </c>
      <c r="D14" s="16" t="s">
        <v>61</v>
      </c>
      <c r="E14" s="16"/>
      <c r="F14" s="16"/>
      <c r="G14" s="16"/>
      <c r="H14" s="17"/>
      <c r="I14" s="17"/>
    </row>
    <row r="15" customFormat="false" ht="15" hidden="false" customHeight="true" outlineLevel="0" collapsed="false">
      <c r="A15" s="14" t="s">
        <v>421</v>
      </c>
      <c r="B15" s="15" t="s">
        <v>422</v>
      </c>
      <c r="C15" s="15" t="s">
        <v>192</v>
      </c>
      <c r="D15" s="14" t="s">
        <v>61</v>
      </c>
      <c r="E15" s="14"/>
      <c r="F15" s="14"/>
      <c r="G15" s="14"/>
      <c r="H15" s="15"/>
      <c r="I15" s="15"/>
    </row>
    <row r="16" customFormat="false" ht="15" hidden="false" customHeight="true" outlineLevel="0" collapsed="false">
      <c r="A16" s="16" t="s">
        <v>423</v>
      </c>
      <c r="B16" s="17" t="s">
        <v>424</v>
      </c>
      <c r="C16" s="17" t="s">
        <v>192</v>
      </c>
      <c r="D16" s="16" t="s">
        <v>61</v>
      </c>
      <c r="E16" s="16"/>
      <c r="F16" s="16"/>
      <c r="G16" s="16"/>
      <c r="H16" s="17"/>
      <c r="I16" s="17"/>
    </row>
    <row r="17" customFormat="false" ht="15" hidden="false" customHeight="true" outlineLevel="0" collapsed="false">
      <c r="A17" s="14" t="s">
        <v>425</v>
      </c>
      <c r="B17" s="15" t="s">
        <v>426</v>
      </c>
      <c r="C17" s="15" t="s">
        <v>192</v>
      </c>
      <c r="D17" s="14" t="s">
        <v>61</v>
      </c>
      <c r="E17" s="14"/>
      <c r="F17" s="14"/>
      <c r="G17" s="14"/>
      <c r="H17" s="15"/>
      <c r="I17" s="15"/>
    </row>
    <row r="18" customFormat="false" ht="15" hidden="false" customHeight="true" outlineLevel="0" collapsed="false">
      <c r="A18" s="16" t="s">
        <v>427</v>
      </c>
      <c r="B18" s="17" t="s">
        <v>428</v>
      </c>
      <c r="C18" s="17" t="s">
        <v>192</v>
      </c>
      <c r="D18" s="16" t="s">
        <v>61</v>
      </c>
      <c r="E18" s="16"/>
      <c r="F18" s="16"/>
      <c r="G18" s="16"/>
      <c r="H18" s="17"/>
      <c r="I18" s="17"/>
    </row>
    <row r="19" customFormat="false" ht="3.75" hidden="false" customHeight="true" outlineLevel="0" collapsed="false"/>
    <row r="20" customFormat="false" ht="16.5" hidden="false" customHeight="true" outlineLevel="0" collapsed="false">
      <c r="A20" s="18" t="s">
        <v>429</v>
      </c>
      <c r="B20" s="18"/>
      <c r="C20" s="18"/>
      <c r="D20" s="18"/>
      <c r="E20" s="18"/>
      <c r="F20" s="18"/>
      <c r="G20" s="18"/>
      <c r="H20" s="18"/>
      <c r="I20" s="18"/>
    </row>
    <row r="21" customFormat="false" ht="15" hidden="false" customHeight="true" outlineLevel="0" collapsed="false">
      <c r="A21" s="14" t="s">
        <v>430</v>
      </c>
      <c r="B21" s="15" t="s">
        <v>431</v>
      </c>
      <c r="C21" s="15" t="s">
        <v>234</v>
      </c>
      <c r="D21" s="14" t="s">
        <v>238</v>
      </c>
      <c r="E21" s="14"/>
      <c r="F21" s="14"/>
      <c r="G21" s="14"/>
      <c r="H21" s="15"/>
      <c r="I21" s="15" t="s">
        <v>432</v>
      </c>
    </row>
    <row r="22" customFormat="false" ht="15" hidden="false" customHeight="true" outlineLevel="0" collapsed="false">
      <c r="A22" s="16" t="s">
        <v>433</v>
      </c>
      <c r="B22" s="17" t="s">
        <v>434</v>
      </c>
      <c r="C22" s="17" t="s">
        <v>234</v>
      </c>
      <c r="D22" s="16" t="s">
        <v>238</v>
      </c>
      <c r="E22" s="16"/>
      <c r="F22" s="16"/>
      <c r="G22" s="16"/>
      <c r="H22" s="17"/>
      <c r="I22" s="17" t="s">
        <v>435</v>
      </c>
    </row>
    <row r="23" customFormat="false" ht="15" hidden="false" customHeight="true" outlineLevel="0" collapsed="false">
      <c r="A23" s="14" t="s">
        <v>436</v>
      </c>
      <c r="B23" s="15" t="s">
        <v>437</v>
      </c>
      <c r="C23" s="15" t="s">
        <v>234</v>
      </c>
      <c r="D23" s="14" t="s">
        <v>238</v>
      </c>
      <c r="E23" s="14"/>
      <c r="F23" s="14"/>
      <c r="G23" s="14"/>
      <c r="H23" s="15"/>
      <c r="I23" s="15"/>
    </row>
    <row r="24" customFormat="false" ht="15" hidden="false" customHeight="true" outlineLevel="0" collapsed="false">
      <c r="A24" s="16" t="s">
        <v>438</v>
      </c>
      <c r="B24" s="17" t="s">
        <v>439</v>
      </c>
      <c r="C24" s="17" t="s">
        <v>234</v>
      </c>
      <c r="D24" s="16" t="s">
        <v>238</v>
      </c>
      <c r="E24" s="16"/>
      <c r="F24" s="16"/>
      <c r="G24" s="16"/>
      <c r="H24" s="17"/>
      <c r="I24" s="17" t="s">
        <v>440</v>
      </c>
    </row>
    <row r="25" customFormat="false" ht="15" hidden="false" customHeight="true" outlineLevel="0" collapsed="false">
      <c r="A25" s="14" t="s">
        <v>441</v>
      </c>
      <c r="B25" s="15" t="s">
        <v>442</v>
      </c>
      <c r="C25" s="15" t="s">
        <v>234</v>
      </c>
      <c r="D25" s="14" t="s">
        <v>238</v>
      </c>
      <c r="E25" s="14"/>
      <c r="F25" s="14"/>
      <c r="G25" s="14"/>
      <c r="H25" s="15"/>
      <c r="I25" s="15"/>
    </row>
    <row r="26" customFormat="false" ht="15" hidden="false" customHeight="true" outlineLevel="0" collapsed="false">
      <c r="A26" s="16" t="s">
        <v>443</v>
      </c>
      <c r="B26" s="17" t="s">
        <v>444</v>
      </c>
      <c r="C26" s="17" t="s">
        <v>234</v>
      </c>
      <c r="D26" s="16" t="s">
        <v>445</v>
      </c>
      <c r="E26" s="16"/>
      <c r="F26" s="16"/>
      <c r="G26" s="16"/>
      <c r="H26" s="17"/>
      <c r="I26" s="17" t="s">
        <v>446</v>
      </c>
    </row>
    <row r="27" customFormat="false" ht="3.75" hidden="false" customHeight="true" outlineLevel="0" collapsed="false"/>
    <row r="28" customFormat="false" ht="16.5" hidden="false" customHeight="true" outlineLevel="0" collapsed="false">
      <c r="A28" s="18" t="s">
        <v>447</v>
      </c>
      <c r="B28" s="18"/>
      <c r="C28" s="18"/>
      <c r="D28" s="18"/>
      <c r="E28" s="18"/>
      <c r="F28" s="18"/>
      <c r="G28" s="18"/>
      <c r="H28" s="18"/>
      <c r="I28" s="18"/>
    </row>
    <row r="29" customFormat="false" ht="15" hidden="false" customHeight="true" outlineLevel="0" collapsed="false">
      <c r="A29" s="14" t="s">
        <v>448</v>
      </c>
      <c r="B29" s="15" t="s">
        <v>449</v>
      </c>
      <c r="C29" s="15" t="s">
        <v>215</v>
      </c>
      <c r="D29" s="14" t="s">
        <v>61</v>
      </c>
      <c r="E29" s="14"/>
      <c r="F29" s="14"/>
      <c r="G29" s="14"/>
      <c r="H29" s="15"/>
      <c r="I29" s="15"/>
    </row>
    <row r="30" customFormat="false" ht="15" hidden="false" customHeight="true" outlineLevel="0" collapsed="false">
      <c r="A30" s="16" t="s">
        <v>450</v>
      </c>
      <c r="B30" s="17" t="s">
        <v>451</v>
      </c>
      <c r="C30" s="17" t="s">
        <v>215</v>
      </c>
      <c r="D30" s="16" t="s">
        <v>61</v>
      </c>
      <c r="E30" s="16"/>
      <c r="F30" s="16"/>
      <c r="G30" s="16"/>
      <c r="H30" s="17"/>
      <c r="I30" s="17"/>
    </row>
    <row r="31" customFormat="false" ht="15" hidden="false" customHeight="true" outlineLevel="0" collapsed="false">
      <c r="A31" s="14" t="s">
        <v>452</v>
      </c>
      <c r="B31" s="15" t="s">
        <v>453</v>
      </c>
      <c r="C31" s="15" t="s">
        <v>215</v>
      </c>
      <c r="D31" s="14" t="s">
        <v>61</v>
      </c>
      <c r="E31" s="14"/>
      <c r="F31" s="14"/>
      <c r="G31" s="14"/>
      <c r="H31" s="15"/>
      <c r="I31" s="15"/>
    </row>
    <row r="32" customFormat="false" ht="15" hidden="false" customHeight="true" outlineLevel="0" collapsed="false">
      <c r="A32" s="16" t="s">
        <v>454</v>
      </c>
      <c r="B32" s="17" t="s">
        <v>455</v>
      </c>
      <c r="C32" s="17" t="s">
        <v>215</v>
      </c>
      <c r="D32" s="16" t="s">
        <v>61</v>
      </c>
      <c r="E32" s="16"/>
      <c r="F32" s="16"/>
      <c r="G32" s="16"/>
      <c r="H32" s="17"/>
      <c r="I32" s="17"/>
    </row>
    <row r="33" customFormat="false" ht="15" hidden="false" customHeight="true" outlineLevel="0" collapsed="false">
      <c r="A33" s="14" t="s">
        <v>456</v>
      </c>
      <c r="B33" s="15" t="s">
        <v>457</v>
      </c>
      <c r="C33" s="15" t="s">
        <v>215</v>
      </c>
      <c r="D33" s="14" t="s">
        <v>61</v>
      </c>
      <c r="E33" s="14"/>
      <c r="F33" s="14"/>
      <c r="G33" s="14"/>
      <c r="H33" s="15"/>
      <c r="I33" s="15" t="s">
        <v>458</v>
      </c>
    </row>
    <row r="34" customFormat="false" ht="15" hidden="false" customHeight="true" outlineLevel="0" collapsed="false">
      <c r="A34" s="16" t="s">
        <v>459</v>
      </c>
      <c r="B34" s="17" t="s">
        <v>460</v>
      </c>
      <c r="C34" s="17" t="s">
        <v>215</v>
      </c>
      <c r="D34" s="16" t="s">
        <v>61</v>
      </c>
      <c r="E34" s="16"/>
      <c r="F34" s="16"/>
      <c r="G34" s="16"/>
      <c r="H34" s="17"/>
      <c r="I34" s="17"/>
    </row>
    <row r="35" customFormat="false" ht="3.75" hidden="false" customHeight="true" outlineLevel="0" collapsed="false"/>
    <row r="36" customFormat="false" ht="16.5" hidden="false" customHeight="true" outlineLevel="0" collapsed="false">
      <c r="A36" s="18" t="s">
        <v>461</v>
      </c>
      <c r="B36" s="18"/>
      <c r="C36" s="18"/>
      <c r="D36" s="18"/>
      <c r="E36" s="18"/>
      <c r="F36" s="18"/>
      <c r="G36" s="18"/>
      <c r="H36" s="18"/>
      <c r="I36" s="18"/>
    </row>
    <row r="37" customFormat="false" ht="15" hidden="false" customHeight="true" outlineLevel="0" collapsed="false">
      <c r="A37" s="14" t="s">
        <v>462</v>
      </c>
      <c r="B37" s="15" t="s">
        <v>463</v>
      </c>
      <c r="C37" s="15" t="s">
        <v>380</v>
      </c>
      <c r="D37" s="14" t="s">
        <v>61</v>
      </c>
      <c r="E37" s="14"/>
      <c r="F37" s="14"/>
      <c r="G37" s="14"/>
      <c r="H37" s="15"/>
      <c r="I37" s="15"/>
    </row>
    <row r="38" customFormat="false" ht="15" hidden="false" customHeight="true" outlineLevel="0" collapsed="false">
      <c r="A38" s="16" t="s">
        <v>464</v>
      </c>
      <c r="B38" s="17" t="s">
        <v>465</v>
      </c>
      <c r="C38" s="17" t="s">
        <v>380</v>
      </c>
      <c r="D38" s="16" t="s">
        <v>61</v>
      </c>
      <c r="E38" s="16"/>
      <c r="F38" s="16"/>
      <c r="G38" s="16"/>
      <c r="H38" s="17"/>
      <c r="I38" s="17"/>
    </row>
    <row r="39" customFormat="false" ht="15" hidden="false" customHeight="true" outlineLevel="0" collapsed="false">
      <c r="A39" s="14" t="s">
        <v>466</v>
      </c>
      <c r="B39" s="15" t="s">
        <v>467</v>
      </c>
      <c r="C39" s="15" t="s">
        <v>380</v>
      </c>
      <c r="D39" s="14" t="s">
        <v>61</v>
      </c>
      <c r="E39" s="14"/>
      <c r="F39" s="14"/>
      <c r="G39" s="14"/>
      <c r="H39" s="15"/>
      <c r="I39" s="15"/>
    </row>
    <row r="40" customFormat="false" ht="15" hidden="false" customHeight="true" outlineLevel="0" collapsed="false">
      <c r="A40" s="16" t="s">
        <v>468</v>
      </c>
      <c r="B40" s="17" t="s">
        <v>469</v>
      </c>
      <c r="C40" s="17" t="s">
        <v>380</v>
      </c>
      <c r="D40" s="16" t="s">
        <v>61</v>
      </c>
      <c r="E40" s="16"/>
      <c r="F40" s="16"/>
      <c r="G40" s="16"/>
      <c r="H40" s="17"/>
      <c r="I40" s="17" t="s">
        <v>470</v>
      </c>
    </row>
    <row r="41" customFormat="false" ht="15" hidden="false" customHeight="true" outlineLevel="0" collapsed="false">
      <c r="A41" s="14" t="s">
        <v>471</v>
      </c>
      <c r="B41" s="15" t="s">
        <v>472</v>
      </c>
      <c r="C41" s="15" t="s">
        <v>380</v>
      </c>
      <c r="D41" s="14" t="s">
        <v>61</v>
      </c>
      <c r="E41" s="14"/>
      <c r="F41" s="14"/>
      <c r="G41" s="14"/>
      <c r="H41" s="15"/>
      <c r="I41" s="15"/>
    </row>
    <row r="42" customFormat="false" ht="15" hidden="false" customHeight="true" outlineLevel="0" collapsed="false">
      <c r="A42" s="16" t="s">
        <v>473</v>
      </c>
      <c r="B42" s="17" t="s">
        <v>474</v>
      </c>
      <c r="C42" s="17" t="s">
        <v>380</v>
      </c>
      <c r="D42" s="16" t="s">
        <v>61</v>
      </c>
      <c r="E42" s="16"/>
      <c r="F42" s="16"/>
      <c r="G42" s="16"/>
      <c r="H42" s="17"/>
      <c r="I42" s="17"/>
    </row>
    <row r="43" customFormat="false" ht="3.75" hidden="false" customHeight="true" outlineLevel="0" collapsed="false"/>
    <row r="44" customFormat="false" ht="4.5" hidden="false" customHeight="true" outlineLevel="0" collapsed="false"/>
    <row r="45" customFormat="false" ht="18" hidden="false" customHeight="true" outlineLevel="0" collapsed="false">
      <c r="A45" s="12" t="s">
        <v>47</v>
      </c>
      <c r="B45" s="12"/>
      <c r="C45" s="12"/>
      <c r="D45" s="12"/>
      <c r="E45" s="12"/>
      <c r="F45" s="12"/>
      <c r="G45" s="12"/>
      <c r="H45" s="12"/>
      <c r="I45" s="12"/>
    </row>
  </sheetData>
  <mergeCells count="9">
    <mergeCell ref="A1:E1"/>
    <mergeCell ref="F1:I1"/>
    <mergeCell ref="A2:I2"/>
    <mergeCell ref="A4:I4"/>
    <mergeCell ref="A12:I12"/>
    <mergeCell ref="A20:I20"/>
    <mergeCell ref="A28:I28"/>
    <mergeCell ref="A36:I36"/>
    <mergeCell ref="A45:I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9" min="7" style="0" width="12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7.5" hidden="false" customHeight="true" outlineLevel="0" collapsed="false"/>
    <row r="3" customFormat="false" ht="27.75" hidden="false" customHeight="true" outlineLevel="0" collapsed="false">
      <c r="A3" s="19" t="s">
        <v>475</v>
      </c>
      <c r="B3" s="19"/>
      <c r="C3" s="19"/>
      <c r="D3" s="19"/>
      <c r="E3" s="19"/>
      <c r="F3" s="19"/>
      <c r="G3" s="19"/>
      <c r="H3" s="19"/>
      <c r="I3" s="19"/>
      <c r="J3" s="19"/>
    </row>
    <row r="4" customFormat="false" ht="4.5" hidden="false" customHeight="true" outlineLevel="0" collapsed="false"/>
    <row r="5" customFormat="false" ht="21.75" hidden="false" customHeight="true" outlineLevel="0" collapsed="false">
      <c r="A5" s="4" t="s">
        <v>476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5" t="s">
        <v>28</v>
      </c>
      <c r="B6" s="5"/>
      <c r="C6" s="5"/>
      <c r="D6" s="5"/>
      <c r="E6" s="20" t="n">
        <v>75</v>
      </c>
      <c r="F6" s="20"/>
      <c r="G6" s="6"/>
      <c r="H6" s="6"/>
      <c r="I6" s="6"/>
      <c r="J6" s="6"/>
    </row>
    <row r="7" customFormat="false" ht="15" hidden="false" customHeight="true" outlineLevel="0" collapsed="false">
      <c r="A7" s="5" t="s">
        <v>477</v>
      </c>
      <c r="B7" s="5"/>
      <c r="C7" s="5"/>
      <c r="D7" s="5"/>
      <c r="E7" s="20" t="n">
        <v>25</v>
      </c>
      <c r="F7" s="20"/>
      <c r="G7" s="8"/>
      <c r="H7" s="8"/>
      <c r="I7" s="8"/>
      <c r="J7" s="8"/>
    </row>
    <row r="8" customFormat="false" ht="15" hidden="false" customHeight="true" outlineLevel="0" collapsed="false">
      <c r="A8" s="5" t="s">
        <v>478</v>
      </c>
      <c r="B8" s="5"/>
      <c r="C8" s="5"/>
      <c r="D8" s="5"/>
      <c r="E8" s="20" t="n">
        <v>20</v>
      </c>
      <c r="F8" s="20"/>
      <c r="G8" s="6"/>
      <c r="H8" s="6"/>
      <c r="I8" s="6"/>
      <c r="J8" s="6"/>
    </row>
    <row r="9" customFormat="false" ht="15" hidden="false" customHeight="true" outlineLevel="0" collapsed="false">
      <c r="A9" s="5" t="s">
        <v>479</v>
      </c>
      <c r="B9" s="5"/>
      <c r="C9" s="5"/>
      <c r="D9" s="5"/>
      <c r="E9" s="20" t="n">
        <v>30</v>
      </c>
      <c r="F9" s="20"/>
      <c r="G9" s="8"/>
      <c r="H9" s="8"/>
      <c r="I9" s="8"/>
      <c r="J9" s="8"/>
    </row>
    <row r="10" customFormat="false" ht="15" hidden="false" customHeight="true" outlineLevel="0" collapsed="false">
      <c r="A10" s="5" t="s">
        <v>480</v>
      </c>
      <c r="B10" s="5"/>
      <c r="C10" s="5"/>
      <c r="D10" s="5"/>
      <c r="E10" s="20" t="n">
        <v>8.5</v>
      </c>
      <c r="F10" s="20"/>
      <c r="G10" s="6"/>
      <c r="H10" s="6"/>
      <c r="I10" s="6"/>
      <c r="J10" s="6"/>
    </row>
    <row r="11" customFormat="false" ht="4.5" hidden="false" customHeight="true" outlineLevel="0" collapsed="false"/>
    <row r="12" customFormat="false" ht="21.75" hidden="false" customHeight="true" outlineLevel="0" collapsed="false">
      <c r="A12" s="4" t="s">
        <v>481</v>
      </c>
      <c r="B12" s="4"/>
      <c r="C12" s="4"/>
      <c r="D12" s="4"/>
      <c r="E12" s="4"/>
      <c r="F12" s="4"/>
      <c r="G12" s="4"/>
      <c r="H12" s="4"/>
      <c r="I12" s="4"/>
      <c r="J12" s="4"/>
    </row>
    <row r="13" customFormat="false" ht="18" hidden="false" customHeight="true" outlineLevel="0" collapsed="false">
      <c r="A13" s="13" t="s">
        <v>482</v>
      </c>
      <c r="B13" s="13" t="s">
        <v>483</v>
      </c>
      <c r="C13" s="13" t="s">
        <v>484</v>
      </c>
      <c r="D13" s="13" t="s">
        <v>52</v>
      </c>
      <c r="E13" s="13" t="s">
        <v>485</v>
      </c>
      <c r="F13" s="13" t="s">
        <v>53</v>
      </c>
      <c r="G13" s="13" t="s">
        <v>54</v>
      </c>
      <c r="H13" s="13" t="s">
        <v>486</v>
      </c>
      <c r="I13" s="13" t="s">
        <v>487</v>
      </c>
      <c r="J13" s="13" t="s">
        <v>488</v>
      </c>
    </row>
    <row r="14" customFormat="false" ht="15" hidden="false" customHeight="true" outlineLevel="0" collapsed="false">
      <c r="A14" s="16" t="n">
        <v>1</v>
      </c>
      <c r="B14" s="17"/>
      <c r="C14" s="17"/>
      <c r="D14" s="17"/>
      <c r="E14" s="17"/>
      <c r="F14" s="17"/>
      <c r="G14" s="17" t="str">
        <f aca="false">IF(F14&lt;&gt;"",F14*$E$6,"")</f>
        <v/>
      </c>
      <c r="H14" s="17" t="str">
        <f aca="false">IF(G14&lt;&gt;"",(E14+G14)*$E$7/100,"")</f>
        <v/>
      </c>
      <c r="I14" s="17" t="str">
        <f aca="false">IF(H14&lt;&gt;"",(E14+G14+H14)*$E$8/100,"")</f>
        <v/>
      </c>
      <c r="J14" s="17" t="str">
        <f aca="false">IF(I14&lt;&gt;"",E14*(1+$E$9/100)+G14+H14+I14,"")</f>
        <v/>
      </c>
    </row>
    <row r="15" customFormat="false" ht="15" hidden="false" customHeight="true" outlineLevel="0" collapsed="false">
      <c r="A15" s="14" t="n">
        <v>2</v>
      </c>
      <c r="B15" s="15"/>
      <c r="C15" s="15"/>
      <c r="D15" s="15"/>
      <c r="E15" s="15"/>
      <c r="F15" s="15"/>
      <c r="G15" s="15" t="str">
        <f aca="false">IF(F15&lt;&gt;"",F15*$E$6,"")</f>
        <v/>
      </c>
      <c r="H15" s="15" t="str">
        <f aca="false">IF(G15&lt;&gt;"",(E15+G15)*$E$7/100,"")</f>
        <v/>
      </c>
      <c r="I15" s="15" t="str">
        <f aca="false">IF(H15&lt;&gt;"",(E15+G15+H15)*$E$8/100,"")</f>
        <v/>
      </c>
      <c r="J15" s="15" t="str">
        <f aca="false">IF(I15&lt;&gt;"",E15*(1+$E$9/100)+G15+H15+I15,"")</f>
        <v/>
      </c>
    </row>
    <row r="16" customFormat="false" ht="15" hidden="false" customHeight="true" outlineLevel="0" collapsed="false">
      <c r="A16" s="16" t="n">
        <v>3</v>
      </c>
      <c r="B16" s="17"/>
      <c r="C16" s="17"/>
      <c r="D16" s="17"/>
      <c r="E16" s="17"/>
      <c r="F16" s="17"/>
      <c r="G16" s="17" t="str">
        <f aca="false">IF(F16&lt;&gt;"",F16*$E$6,"")</f>
        <v/>
      </c>
      <c r="H16" s="17" t="str">
        <f aca="false">IF(G16&lt;&gt;"",(E16+G16)*$E$7/100,"")</f>
        <v/>
      </c>
      <c r="I16" s="17" t="str">
        <f aca="false">IF(H16&lt;&gt;"",(E16+G16+H16)*$E$8/100,"")</f>
        <v/>
      </c>
      <c r="J16" s="17" t="str">
        <f aca="false">IF(I16&lt;&gt;"",E16*(1+$E$9/100)+G16+H16+I16,"")</f>
        <v/>
      </c>
    </row>
    <row r="17" customFormat="false" ht="15" hidden="false" customHeight="true" outlineLevel="0" collapsed="false">
      <c r="A17" s="14" t="n">
        <v>4</v>
      </c>
      <c r="B17" s="15"/>
      <c r="C17" s="15"/>
      <c r="D17" s="15"/>
      <c r="E17" s="15"/>
      <c r="F17" s="15"/>
      <c r="G17" s="15" t="str">
        <f aca="false">IF(F17&lt;&gt;"",F17*$E$6,"")</f>
        <v/>
      </c>
      <c r="H17" s="15" t="str">
        <f aca="false">IF(G17&lt;&gt;"",(E17+G17)*$E$7/100,"")</f>
        <v/>
      </c>
      <c r="I17" s="15" t="str">
        <f aca="false">IF(H17&lt;&gt;"",(E17+G17+H17)*$E$8/100,"")</f>
        <v/>
      </c>
      <c r="J17" s="15" t="str">
        <f aca="false">IF(I17&lt;&gt;"",E17*(1+$E$9/100)+G17+H17+I17,"")</f>
        <v/>
      </c>
    </row>
    <row r="18" customFormat="false" ht="15" hidden="false" customHeight="true" outlineLevel="0" collapsed="false">
      <c r="A18" s="16" t="n">
        <v>5</v>
      </c>
      <c r="B18" s="17"/>
      <c r="C18" s="17"/>
      <c r="D18" s="17"/>
      <c r="E18" s="17"/>
      <c r="F18" s="17"/>
      <c r="G18" s="17" t="str">
        <f aca="false">IF(F18&lt;&gt;"",F18*$E$6,"")</f>
        <v/>
      </c>
      <c r="H18" s="17" t="str">
        <f aca="false">IF(G18&lt;&gt;"",(E18+G18)*$E$7/100,"")</f>
        <v/>
      </c>
      <c r="I18" s="17" t="str">
        <f aca="false">IF(H18&lt;&gt;"",(E18+G18+H18)*$E$8/100,"")</f>
        <v/>
      </c>
      <c r="J18" s="17" t="str">
        <f aca="false">IF(I18&lt;&gt;"",E18*(1+$E$9/100)+G18+H18+I18,"")</f>
        <v/>
      </c>
    </row>
    <row r="19" customFormat="false" ht="15" hidden="false" customHeight="true" outlineLevel="0" collapsed="false">
      <c r="A19" s="14" t="n">
        <v>6</v>
      </c>
      <c r="B19" s="15"/>
      <c r="C19" s="15"/>
      <c r="D19" s="15"/>
      <c r="E19" s="15"/>
      <c r="F19" s="15"/>
      <c r="G19" s="15" t="str">
        <f aca="false">IF(F19&lt;&gt;"",F19*$E$6,"")</f>
        <v/>
      </c>
      <c r="H19" s="15" t="str">
        <f aca="false">IF(G19&lt;&gt;"",(E19+G19)*$E$7/100,"")</f>
        <v/>
      </c>
      <c r="I19" s="15" t="str">
        <f aca="false">IF(H19&lt;&gt;"",(E19+G19+H19)*$E$8/100,"")</f>
        <v/>
      </c>
      <c r="J19" s="15" t="str">
        <f aca="false">IF(I19&lt;&gt;"",E19*(1+$E$9/100)+G19+H19+I19,"")</f>
        <v/>
      </c>
    </row>
    <row r="20" customFormat="false" ht="15" hidden="false" customHeight="true" outlineLevel="0" collapsed="false">
      <c r="A20" s="16" t="n">
        <v>7</v>
      </c>
      <c r="B20" s="17"/>
      <c r="C20" s="17"/>
      <c r="D20" s="17"/>
      <c r="E20" s="17"/>
      <c r="F20" s="17"/>
      <c r="G20" s="17" t="str">
        <f aca="false">IF(F20&lt;&gt;"",F20*$E$6,"")</f>
        <v/>
      </c>
      <c r="H20" s="17" t="str">
        <f aca="false">IF(G20&lt;&gt;"",(E20+G20)*$E$7/100,"")</f>
        <v/>
      </c>
      <c r="I20" s="17" t="str">
        <f aca="false">IF(H20&lt;&gt;"",(E20+G20+H20)*$E$8/100,"")</f>
        <v/>
      </c>
      <c r="J20" s="17" t="str">
        <f aca="false">IF(I20&lt;&gt;"",E20*(1+$E$9/100)+G20+H20+I20,"")</f>
        <v/>
      </c>
    </row>
    <row r="21" customFormat="false" ht="15" hidden="false" customHeight="true" outlineLevel="0" collapsed="false">
      <c r="A21" s="14" t="n">
        <v>8</v>
      </c>
      <c r="B21" s="15"/>
      <c r="C21" s="15"/>
      <c r="D21" s="15"/>
      <c r="E21" s="15"/>
      <c r="F21" s="15"/>
      <c r="G21" s="15" t="str">
        <f aca="false">IF(F21&lt;&gt;"",F21*$E$6,"")</f>
        <v/>
      </c>
      <c r="H21" s="15" t="str">
        <f aca="false">IF(G21&lt;&gt;"",(E21+G21)*$E$7/100,"")</f>
        <v/>
      </c>
      <c r="I21" s="15" t="str">
        <f aca="false">IF(H21&lt;&gt;"",(E21+G21+H21)*$E$8/100,"")</f>
        <v/>
      </c>
      <c r="J21" s="15" t="str">
        <f aca="false">IF(I21&lt;&gt;"",E21*(1+$E$9/100)+G21+H21+I21,"")</f>
        <v/>
      </c>
    </row>
    <row r="22" customFormat="false" ht="15" hidden="false" customHeight="true" outlineLevel="0" collapsed="false">
      <c r="A22" s="16" t="n">
        <v>9</v>
      </c>
      <c r="B22" s="17"/>
      <c r="C22" s="17"/>
      <c r="D22" s="17"/>
      <c r="E22" s="17"/>
      <c r="F22" s="17"/>
      <c r="G22" s="17" t="str">
        <f aca="false">IF(F22&lt;&gt;"",F22*$E$6,"")</f>
        <v/>
      </c>
      <c r="H22" s="17" t="str">
        <f aca="false">IF(G22&lt;&gt;"",(E22+G22)*$E$7/100,"")</f>
        <v/>
      </c>
      <c r="I22" s="17" t="str">
        <f aca="false">IF(H22&lt;&gt;"",(E22+G22+H22)*$E$8/100,"")</f>
        <v/>
      </c>
      <c r="J22" s="17" t="str">
        <f aca="false">IF(I22&lt;&gt;"",E22*(1+$E$9/100)+G22+H22+I22,"")</f>
        <v/>
      </c>
    </row>
    <row r="23" customFormat="false" ht="15" hidden="false" customHeight="true" outlineLevel="0" collapsed="false">
      <c r="A23" s="14" t="n">
        <v>10</v>
      </c>
      <c r="B23" s="15"/>
      <c r="C23" s="15"/>
      <c r="D23" s="15"/>
      <c r="E23" s="15"/>
      <c r="F23" s="15"/>
      <c r="G23" s="15" t="str">
        <f aca="false">IF(F23&lt;&gt;"",F23*$E$6,"")</f>
        <v/>
      </c>
      <c r="H23" s="15" t="str">
        <f aca="false">IF(G23&lt;&gt;"",(E23+G23)*$E$7/100,"")</f>
        <v/>
      </c>
      <c r="I23" s="15" t="str">
        <f aca="false">IF(H23&lt;&gt;"",(E23+G23+H23)*$E$8/100,"")</f>
        <v/>
      </c>
      <c r="J23" s="15" t="str">
        <f aca="false">IF(I23&lt;&gt;"",E23*(1+$E$9/100)+G23+H23+I23,"")</f>
        <v/>
      </c>
    </row>
    <row r="24" customFormat="false" ht="15" hidden="false" customHeight="true" outlineLevel="0" collapsed="false">
      <c r="A24" s="16" t="n">
        <v>11</v>
      </c>
      <c r="B24" s="17"/>
      <c r="C24" s="17"/>
      <c r="D24" s="17"/>
      <c r="E24" s="17"/>
      <c r="F24" s="17"/>
      <c r="G24" s="17" t="str">
        <f aca="false">IF(F24&lt;&gt;"",F24*$E$6,"")</f>
        <v/>
      </c>
      <c r="H24" s="17" t="str">
        <f aca="false">IF(G24&lt;&gt;"",(E24+G24)*$E$7/100,"")</f>
        <v/>
      </c>
      <c r="I24" s="17" t="str">
        <f aca="false">IF(H24&lt;&gt;"",(E24+G24+H24)*$E$8/100,"")</f>
        <v/>
      </c>
      <c r="J24" s="17" t="str">
        <f aca="false">IF(I24&lt;&gt;"",E24*(1+$E$9/100)+G24+H24+I24,"")</f>
        <v/>
      </c>
    </row>
    <row r="25" customFormat="false" ht="15" hidden="false" customHeight="true" outlineLevel="0" collapsed="false">
      <c r="A25" s="14" t="n">
        <v>12</v>
      </c>
      <c r="B25" s="15"/>
      <c r="C25" s="15"/>
      <c r="D25" s="15"/>
      <c r="E25" s="15"/>
      <c r="F25" s="15"/>
      <c r="G25" s="15" t="str">
        <f aca="false">IF(F25&lt;&gt;"",F25*$E$6,"")</f>
        <v/>
      </c>
      <c r="H25" s="15" t="str">
        <f aca="false">IF(G25&lt;&gt;"",(E25+G25)*$E$7/100,"")</f>
        <v/>
      </c>
      <c r="I25" s="15" t="str">
        <f aca="false">IF(H25&lt;&gt;"",(E25+G25+H25)*$E$8/100,"")</f>
        <v/>
      </c>
      <c r="J25" s="15" t="str">
        <f aca="false">IF(I25&lt;&gt;"",E25*(1+$E$9/100)+G25+H25+I25,"")</f>
        <v/>
      </c>
    </row>
    <row r="26" customFormat="false" ht="15" hidden="false" customHeight="true" outlineLevel="0" collapsed="false">
      <c r="A26" s="16" t="n">
        <v>13</v>
      </c>
      <c r="B26" s="17"/>
      <c r="C26" s="17"/>
      <c r="D26" s="17"/>
      <c r="E26" s="17"/>
      <c r="F26" s="17"/>
      <c r="G26" s="17" t="str">
        <f aca="false">IF(F26&lt;&gt;"",F26*$E$6,"")</f>
        <v/>
      </c>
      <c r="H26" s="17" t="str">
        <f aca="false">IF(G26&lt;&gt;"",(E26+G26)*$E$7/100,"")</f>
        <v/>
      </c>
      <c r="I26" s="17" t="str">
        <f aca="false">IF(H26&lt;&gt;"",(E26+G26+H26)*$E$8/100,"")</f>
        <v/>
      </c>
      <c r="J26" s="17" t="str">
        <f aca="false">IF(I26&lt;&gt;"",E26*(1+$E$9/100)+G26+H26+I26,"")</f>
        <v/>
      </c>
    </row>
    <row r="27" customFormat="false" ht="15" hidden="false" customHeight="true" outlineLevel="0" collapsed="false">
      <c r="A27" s="14" t="n">
        <v>14</v>
      </c>
      <c r="B27" s="15"/>
      <c r="C27" s="15"/>
      <c r="D27" s="15"/>
      <c r="E27" s="15"/>
      <c r="F27" s="15"/>
      <c r="G27" s="15" t="str">
        <f aca="false">IF(F27&lt;&gt;"",F27*$E$6,"")</f>
        <v/>
      </c>
      <c r="H27" s="15" t="str">
        <f aca="false">IF(G27&lt;&gt;"",(E27+G27)*$E$7/100,"")</f>
        <v/>
      </c>
      <c r="I27" s="15" t="str">
        <f aca="false">IF(H27&lt;&gt;"",(E27+G27+H27)*$E$8/100,"")</f>
        <v/>
      </c>
      <c r="J27" s="15" t="str">
        <f aca="false">IF(I27&lt;&gt;"",E27*(1+$E$9/100)+G27+H27+I27,"")</f>
        <v/>
      </c>
    </row>
    <row r="28" customFormat="false" ht="15" hidden="false" customHeight="true" outlineLevel="0" collapsed="false">
      <c r="A28" s="16" t="n">
        <v>15</v>
      </c>
      <c r="B28" s="17"/>
      <c r="C28" s="17"/>
      <c r="D28" s="17"/>
      <c r="E28" s="17"/>
      <c r="F28" s="17"/>
      <c r="G28" s="17" t="str">
        <f aca="false">IF(F28&lt;&gt;"",F28*$E$6,"")</f>
        <v/>
      </c>
      <c r="H28" s="17" t="str">
        <f aca="false">IF(G28&lt;&gt;"",(E28+G28)*$E$7/100,"")</f>
        <v/>
      </c>
      <c r="I28" s="17" t="str">
        <f aca="false">IF(H28&lt;&gt;"",(E28+G28+H28)*$E$8/100,"")</f>
        <v/>
      </c>
      <c r="J28" s="17" t="str">
        <f aca="false">IF(I28&lt;&gt;"",E28*(1+$E$9/100)+G28+H28+I28,"")</f>
        <v/>
      </c>
    </row>
    <row r="29" customFormat="false" ht="16.5" hidden="false" customHeight="true" outlineLevel="0" collapsed="false">
      <c r="A29" s="21" t="s">
        <v>489</v>
      </c>
      <c r="B29" s="21"/>
      <c r="C29" s="21"/>
      <c r="D29" s="21"/>
      <c r="E29" s="22" t="n">
        <f aca="false">SUM(E14:E28)</f>
        <v>0</v>
      </c>
      <c r="F29" s="22" t="n">
        <f aca="false">SUM(F14:F28)</f>
        <v>0</v>
      </c>
      <c r="G29" s="22" t="n">
        <f aca="false">SUM(G14:G28)</f>
        <v>0</v>
      </c>
      <c r="H29" s="22" t="n">
        <f aca="false">SUM(H14:H28)</f>
        <v>0</v>
      </c>
      <c r="I29" s="22" t="n">
        <f aca="false">SUM(I14:I28)</f>
        <v>0</v>
      </c>
      <c r="J29" s="22" t="n">
        <f aca="false">SUM(J14:J28)</f>
        <v>0</v>
      </c>
    </row>
    <row r="30" customFormat="false" ht="15" hidden="false" customHeight="true" outlineLevel="0" collapsed="false">
      <c r="A30" s="23" t="s">
        <v>490</v>
      </c>
      <c r="B30" s="23"/>
      <c r="C30" s="23"/>
      <c r="D30" s="23"/>
      <c r="E30" s="23"/>
      <c r="F30" s="23"/>
      <c r="G30" s="23"/>
      <c r="H30" s="23"/>
      <c r="I30" s="23"/>
      <c r="J30" s="24" t="n">
        <f aca="false">E29*(1+$E$9/100)*$E$10/100</f>
        <v>0</v>
      </c>
    </row>
    <row r="31" customFormat="false" ht="19.5" hidden="false" customHeight="true" outlineLevel="0" collapsed="false">
      <c r="A31" s="25" t="s">
        <v>491</v>
      </c>
      <c r="B31" s="25"/>
      <c r="C31" s="25"/>
      <c r="D31" s="25"/>
      <c r="E31" s="25"/>
      <c r="F31" s="25"/>
      <c r="G31" s="25"/>
      <c r="H31" s="25"/>
      <c r="I31" s="25"/>
      <c r="J31" s="26" t="n">
        <f aca="false">J29+J30</f>
        <v>0</v>
      </c>
    </row>
    <row r="32" customFormat="false" ht="4.5" hidden="false" customHeight="true" outlineLevel="0" collapsed="false"/>
    <row r="33" customFormat="false" ht="18" hidden="false" customHeight="true" outlineLevel="0" collapsed="false">
      <c r="A33" s="12" t="s">
        <v>47</v>
      </c>
      <c r="B33" s="12"/>
      <c r="C33" s="12"/>
      <c r="D33" s="12"/>
      <c r="E33" s="12"/>
      <c r="F33" s="12"/>
      <c r="G33" s="12"/>
      <c r="H33" s="12"/>
      <c r="I33" s="12"/>
      <c r="J33" s="12"/>
    </row>
  </sheetData>
  <mergeCells count="24">
    <mergeCell ref="A1:E1"/>
    <mergeCell ref="F1:J1"/>
    <mergeCell ref="A3:J3"/>
    <mergeCell ref="A5:J5"/>
    <mergeCell ref="A6:D6"/>
    <mergeCell ref="E6:F6"/>
    <mergeCell ref="G6:J6"/>
    <mergeCell ref="A7:D7"/>
    <mergeCell ref="E7:F7"/>
    <mergeCell ref="G7:J7"/>
    <mergeCell ref="A8:D8"/>
    <mergeCell ref="E8:F8"/>
    <mergeCell ref="G8:J8"/>
    <mergeCell ref="A9:D9"/>
    <mergeCell ref="E9:F9"/>
    <mergeCell ref="G9:J9"/>
    <mergeCell ref="A10:D10"/>
    <mergeCell ref="E10:F10"/>
    <mergeCell ref="G10:J10"/>
    <mergeCell ref="A12:J12"/>
    <mergeCell ref="A29:D29"/>
    <mergeCell ref="A30:I30"/>
    <mergeCell ref="A31:I31"/>
    <mergeCell ref="A33:J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2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8" min="6" style="0" width="14"/>
    <col collapsed="false" customWidth="true" hidden="false" outlineLevel="0" max="9" min="9" style="0" width="28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492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13" t="s">
        <v>493</v>
      </c>
      <c r="B3" s="13" t="s">
        <v>494</v>
      </c>
      <c r="C3" s="13" t="s">
        <v>108</v>
      </c>
      <c r="D3" s="13" t="s">
        <v>495</v>
      </c>
      <c r="E3" s="13" t="s">
        <v>496</v>
      </c>
      <c r="F3" s="13" t="s">
        <v>497</v>
      </c>
      <c r="G3" s="13" t="s">
        <v>498</v>
      </c>
      <c r="H3" s="13" t="s">
        <v>499</v>
      </c>
      <c r="I3" s="13" t="s">
        <v>500</v>
      </c>
      <c r="J3" s="13" t="s">
        <v>57</v>
      </c>
    </row>
    <row r="4" customFormat="false" ht="16.5" hidden="false" customHeight="true" outlineLevel="0" collapsed="false">
      <c r="A4" s="18" t="s">
        <v>501</v>
      </c>
      <c r="B4" s="18"/>
      <c r="C4" s="18"/>
      <c r="D4" s="18"/>
      <c r="E4" s="18"/>
      <c r="F4" s="18"/>
      <c r="G4" s="18"/>
      <c r="H4" s="18"/>
      <c r="I4" s="18"/>
      <c r="J4" s="18"/>
    </row>
    <row r="5" customFormat="false" ht="15" hidden="false" customHeight="true" outlineLevel="0" collapsed="false">
      <c r="A5" s="14" t="s">
        <v>502</v>
      </c>
      <c r="B5" s="15" t="s">
        <v>503</v>
      </c>
      <c r="C5" s="15" t="s">
        <v>309</v>
      </c>
      <c r="D5" s="14" t="s">
        <v>504</v>
      </c>
      <c r="E5" s="14" t="s">
        <v>504</v>
      </c>
      <c r="F5" s="14"/>
      <c r="G5" s="14" t="str">
        <f aca="false">IF(F4&lt;&gt;"",F4/12,"")</f>
        <v/>
      </c>
      <c r="H5" s="14" t="s">
        <v>505</v>
      </c>
      <c r="I5" s="15" t="s">
        <v>506</v>
      </c>
      <c r="J5" s="15"/>
    </row>
    <row r="6" customFormat="false" ht="15" hidden="false" customHeight="true" outlineLevel="0" collapsed="false">
      <c r="A6" s="16" t="s">
        <v>507</v>
      </c>
      <c r="B6" s="17" t="s">
        <v>508</v>
      </c>
      <c r="C6" s="17" t="s">
        <v>309</v>
      </c>
      <c r="D6" s="16" t="s">
        <v>504</v>
      </c>
      <c r="E6" s="16" t="s">
        <v>509</v>
      </c>
      <c r="F6" s="16"/>
      <c r="G6" s="16" t="str">
        <f aca="false">IF(F5&lt;&gt;"",F5/12,"")</f>
        <v/>
      </c>
      <c r="H6" s="16" t="s">
        <v>510</v>
      </c>
      <c r="I6" s="17" t="s">
        <v>511</v>
      </c>
      <c r="J6" s="17"/>
    </row>
    <row r="7" customFormat="false" ht="15" hidden="false" customHeight="true" outlineLevel="0" collapsed="false">
      <c r="A7" s="14" t="s">
        <v>512</v>
      </c>
      <c r="B7" s="15" t="s">
        <v>513</v>
      </c>
      <c r="C7" s="15" t="s">
        <v>309</v>
      </c>
      <c r="D7" s="14" t="s">
        <v>504</v>
      </c>
      <c r="E7" s="14" t="s">
        <v>509</v>
      </c>
      <c r="F7" s="14"/>
      <c r="G7" s="14" t="str">
        <f aca="false">IF(F6&lt;&gt;"",F6/12,"")</f>
        <v/>
      </c>
      <c r="H7" s="14" t="s">
        <v>514</v>
      </c>
      <c r="I7" s="15" t="s">
        <v>515</v>
      </c>
      <c r="J7" s="15"/>
    </row>
    <row r="8" customFormat="false" ht="15" hidden="false" customHeight="true" outlineLevel="0" collapsed="false">
      <c r="A8" s="16" t="s">
        <v>516</v>
      </c>
      <c r="B8" s="17" t="s">
        <v>517</v>
      </c>
      <c r="C8" s="17" t="s">
        <v>309</v>
      </c>
      <c r="D8" s="16" t="s">
        <v>509</v>
      </c>
      <c r="E8" s="16" t="s">
        <v>509</v>
      </c>
      <c r="F8" s="16"/>
      <c r="G8" s="16" t="str">
        <f aca="false">IF(F7&lt;&gt;"",F7/12,"")</f>
        <v/>
      </c>
      <c r="H8" s="16" t="s">
        <v>514</v>
      </c>
      <c r="I8" s="17" t="s">
        <v>518</v>
      </c>
      <c r="J8" s="17" t="s">
        <v>124</v>
      </c>
    </row>
    <row r="9" customFormat="false" ht="15" hidden="false" customHeight="true" outlineLevel="0" collapsed="false">
      <c r="A9" s="14" t="s">
        <v>519</v>
      </c>
      <c r="B9" s="15" t="s">
        <v>520</v>
      </c>
      <c r="C9" s="15" t="s">
        <v>318</v>
      </c>
      <c r="D9" s="14" t="s">
        <v>504</v>
      </c>
      <c r="E9" s="14" t="s">
        <v>504</v>
      </c>
      <c r="F9" s="14"/>
      <c r="G9" s="14" t="str">
        <f aca="false">IF(F8&lt;&gt;"",F8/12,"")</f>
        <v/>
      </c>
      <c r="H9" s="14" t="s">
        <v>505</v>
      </c>
      <c r="I9" s="15" t="s">
        <v>521</v>
      </c>
      <c r="J9" s="15"/>
    </row>
    <row r="10" customFormat="false" ht="15" hidden="false" customHeight="true" outlineLevel="0" collapsed="false">
      <c r="A10" s="16" t="s">
        <v>522</v>
      </c>
      <c r="B10" s="17" t="s">
        <v>523</v>
      </c>
      <c r="C10" s="17" t="s">
        <v>326</v>
      </c>
      <c r="D10" s="16" t="s">
        <v>504</v>
      </c>
      <c r="E10" s="16" t="s">
        <v>509</v>
      </c>
      <c r="F10" s="16"/>
      <c r="G10" s="16" t="str">
        <f aca="false">IF(F9&lt;&gt;"",F9/12,"")</f>
        <v/>
      </c>
      <c r="H10" s="16" t="s">
        <v>510</v>
      </c>
      <c r="I10" s="17" t="s">
        <v>524</v>
      </c>
      <c r="J10" s="17"/>
    </row>
    <row r="11" customFormat="false" ht="3.75" hidden="false" customHeight="true" outlineLevel="0" collapsed="false"/>
    <row r="12" customFormat="false" ht="16.5" hidden="false" customHeight="true" outlineLevel="0" collapsed="false">
      <c r="A12" s="18" t="s">
        <v>525</v>
      </c>
      <c r="B12" s="18"/>
      <c r="C12" s="18"/>
      <c r="D12" s="18"/>
      <c r="E12" s="18"/>
      <c r="F12" s="18"/>
      <c r="G12" s="18"/>
      <c r="H12" s="18"/>
      <c r="I12" s="18"/>
      <c r="J12" s="18"/>
    </row>
    <row r="13" customFormat="false" ht="15" hidden="false" customHeight="true" outlineLevel="0" collapsed="false">
      <c r="A13" s="14" t="s">
        <v>526</v>
      </c>
      <c r="B13" s="15" t="s">
        <v>527</v>
      </c>
      <c r="C13" s="15" t="s">
        <v>339</v>
      </c>
      <c r="D13" s="14" t="s">
        <v>504</v>
      </c>
      <c r="E13" s="14" t="s">
        <v>528</v>
      </c>
      <c r="F13" s="14"/>
      <c r="G13" s="14" t="str">
        <f aca="false">IF(F11&lt;&gt;"",F11/12,"")</f>
        <v/>
      </c>
      <c r="H13" s="14" t="s">
        <v>510</v>
      </c>
      <c r="I13" s="15" t="s">
        <v>529</v>
      </c>
      <c r="J13" s="15"/>
    </row>
    <row r="14" customFormat="false" ht="15" hidden="false" customHeight="true" outlineLevel="0" collapsed="false">
      <c r="A14" s="16" t="s">
        <v>530</v>
      </c>
      <c r="B14" s="17" t="s">
        <v>531</v>
      </c>
      <c r="C14" s="17" t="s">
        <v>339</v>
      </c>
      <c r="D14" s="16" t="s">
        <v>509</v>
      </c>
      <c r="E14" s="16" t="s">
        <v>528</v>
      </c>
      <c r="F14" s="16"/>
      <c r="G14" s="16" t="str">
        <f aca="false">IF(F12&lt;&gt;"",F12/12,"")</f>
        <v/>
      </c>
      <c r="H14" s="16" t="s">
        <v>532</v>
      </c>
      <c r="I14" s="17" t="s">
        <v>533</v>
      </c>
      <c r="J14" s="17"/>
    </row>
    <row r="15" customFormat="false" ht="15" hidden="false" customHeight="true" outlineLevel="0" collapsed="false">
      <c r="A15" s="14" t="s">
        <v>534</v>
      </c>
      <c r="B15" s="15" t="s">
        <v>535</v>
      </c>
      <c r="C15" s="15" t="s">
        <v>339</v>
      </c>
      <c r="D15" s="14" t="s">
        <v>504</v>
      </c>
      <c r="E15" s="14" t="s">
        <v>528</v>
      </c>
      <c r="F15" s="14"/>
      <c r="G15" s="14" t="str">
        <f aca="false">IF(F13&lt;&gt;"",F13/12,"")</f>
        <v/>
      </c>
      <c r="H15" s="14" t="s">
        <v>514</v>
      </c>
      <c r="I15" s="15" t="s">
        <v>536</v>
      </c>
      <c r="J15" s="15" t="s">
        <v>537</v>
      </c>
    </row>
    <row r="16" customFormat="false" ht="15" hidden="false" customHeight="true" outlineLevel="0" collapsed="false">
      <c r="A16" s="16" t="s">
        <v>538</v>
      </c>
      <c r="B16" s="17" t="s">
        <v>539</v>
      </c>
      <c r="C16" s="17" t="s">
        <v>339</v>
      </c>
      <c r="D16" s="16" t="s">
        <v>504</v>
      </c>
      <c r="E16" s="16" t="s">
        <v>528</v>
      </c>
      <c r="F16" s="16"/>
      <c r="G16" s="16" t="str">
        <f aca="false">IF(F14&lt;&gt;"",F14/12,"")</f>
        <v/>
      </c>
      <c r="H16" s="16" t="s">
        <v>540</v>
      </c>
      <c r="I16" s="17" t="s">
        <v>541</v>
      </c>
      <c r="J16" s="17"/>
    </row>
    <row r="17" customFormat="false" ht="3.75" hidden="false" customHeight="true" outlineLevel="0" collapsed="false"/>
    <row r="18" customFormat="false" ht="16.5" hidden="false" customHeight="true" outlineLevel="0" collapsed="false">
      <c r="A18" s="18" t="s">
        <v>542</v>
      </c>
      <c r="B18" s="18"/>
      <c r="C18" s="18"/>
      <c r="D18" s="18"/>
      <c r="E18" s="18"/>
      <c r="F18" s="18"/>
      <c r="G18" s="18"/>
      <c r="H18" s="18"/>
      <c r="I18" s="18"/>
      <c r="J18" s="18"/>
    </row>
    <row r="19" customFormat="false" ht="15" hidden="false" customHeight="true" outlineLevel="0" collapsed="false">
      <c r="A19" s="14" t="s">
        <v>543</v>
      </c>
      <c r="B19" s="15" t="s">
        <v>544</v>
      </c>
      <c r="C19" s="15" t="s">
        <v>545</v>
      </c>
      <c r="D19" s="14" t="s">
        <v>504</v>
      </c>
      <c r="E19" s="14" t="s">
        <v>528</v>
      </c>
      <c r="F19" s="14"/>
      <c r="G19" s="14" t="str">
        <f aca="false">IF(F16&lt;&gt;"",F16/12,"")</f>
        <v/>
      </c>
      <c r="H19" s="14" t="s">
        <v>510</v>
      </c>
      <c r="I19" s="15" t="s">
        <v>546</v>
      </c>
      <c r="J19" s="15"/>
    </row>
    <row r="20" customFormat="false" ht="15" hidden="false" customHeight="true" outlineLevel="0" collapsed="false">
      <c r="A20" s="16" t="s">
        <v>547</v>
      </c>
      <c r="B20" s="17" t="s">
        <v>548</v>
      </c>
      <c r="C20" s="17" t="s">
        <v>545</v>
      </c>
      <c r="D20" s="16" t="s">
        <v>504</v>
      </c>
      <c r="E20" s="16" t="s">
        <v>549</v>
      </c>
      <c r="F20" s="16"/>
      <c r="G20" s="16" t="str">
        <f aca="false">IF(F17&lt;&gt;"",F17/12,"")</f>
        <v/>
      </c>
      <c r="H20" s="16" t="s">
        <v>540</v>
      </c>
      <c r="I20" s="17" t="s">
        <v>550</v>
      </c>
      <c r="J20" s="17"/>
    </row>
    <row r="21" customFormat="false" ht="15" hidden="false" customHeight="true" outlineLevel="0" collapsed="false">
      <c r="A21" s="14" t="s">
        <v>551</v>
      </c>
      <c r="B21" s="15" t="s">
        <v>552</v>
      </c>
      <c r="C21" s="15" t="s">
        <v>173</v>
      </c>
      <c r="D21" s="14" t="s">
        <v>504</v>
      </c>
      <c r="E21" s="14" t="s">
        <v>528</v>
      </c>
      <c r="F21" s="14"/>
      <c r="G21" s="14" t="str">
        <f aca="false">IF(F18&lt;&gt;"",F18/12,"")</f>
        <v/>
      </c>
      <c r="H21" s="14" t="s">
        <v>510</v>
      </c>
      <c r="I21" s="15" t="s">
        <v>553</v>
      </c>
      <c r="J21" s="15"/>
    </row>
    <row r="22" customFormat="false" ht="15" hidden="false" customHeight="true" outlineLevel="0" collapsed="false">
      <c r="A22" s="16" t="s">
        <v>554</v>
      </c>
      <c r="B22" s="17" t="s">
        <v>555</v>
      </c>
      <c r="C22" s="17" t="s">
        <v>556</v>
      </c>
      <c r="D22" s="16" t="s">
        <v>557</v>
      </c>
      <c r="E22" s="16" t="s">
        <v>557</v>
      </c>
      <c r="F22" s="16"/>
      <c r="G22" s="16"/>
      <c r="H22" s="16" t="s">
        <v>558</v>
      </c>
      <c r="I22" s="17" t="s">
        <v>559</v>
      </c>
      <c r="J22" s="17" t="s">
        <v>560</v>
      </c>
    </row>
    <row r="23" customFormat="false" ht="3.75" hidden="false" customHeight="true" outlineLevel="0" collapsed="false"/>
    <row r="24" customFormat="false" ht="4.5" hidden="false" customHeight="true" outlineLevel="0" collapsed="false"/>
    <row r="25" customFormat="false" ht="18" hidden="false" customHeight="true" outlineLevel="0" collapsed="false">
      <c r="A25" s="12" t="s">
        <v>47</v>
      </c>
      <c r="B25" s="12"/>
      <c r="C25" s="12"/>
      <c r="D25" s="12"/>
      <c r="E25" s="12"/>
      <c r="F25" s="12"/>
      <c r="G25" s="12"/>
      <c r="H25" s="12"/>
      <c r="I25" s="12"/>
      <c r="J25" s="12"/>
    </row>
  </sheetData>
  <mergeCells count="7">
    <mergeCell ref="A1:E1"/>
    <mergeCell ref="F1:J1"/>
    <mergeCell ref="A2:J2"/>
    <mergeCell ref="A4:J4"/>
    <mergeCell ref="A12:J12"/>
    <mergeCell ref="A18:J18"/>
    <mergeCell ref="A25:J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9" min="4" style="0" width="12"/>
    <col collapsed="false" customWidth="true" hidden="false" outlineLevel="0" max="10" min="10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</row>
    <row r="2" customFormat="false" ht="21.75" hidden="false" customHeight="true" outlineLevel="0" collapsed="false">
      <c r="A2" s="4" t="s">
        <v>561</v>
      </c>
      <c r="B2" s="4"/>
      <c r="C2" s="4"/>
      <c r="D2" s="4"/>
      <c r="E2" s="4"/>
      <c r="F2" s="4"/>
      <c r="G2" s="4"/>
      <c r="H2" s="4"/>
      <c r="I2" s="4"/>
      <c r="J2" s="4"/>
    </row>
    <row r="3" customFormat="false" ht="18" hidden="false" customHeight="true" outlineLevel="0" collapsed="false">
      <c r="A3" s="13" t="s">
        <v>49</v>
      </c>
      <c r="B3" s="13" t="s">
        <v>483</v>
      </c>
      <c r="C3" s="13" t="s">
        <v>51</v>
      </c>
      <c r="D3" s="13" t="s">
        <v>562</v>
      </c>
      <c r="E3" s="13" t="s">
        <v>563</v>
      </c>
      <c r="F3" s="13" t="s">
        <v>564</v>
      </c>
      <c r="G3" s="13" t="s">
        <v>399</v>
      </c>
      <c r="H3" s="13" t="s">
        <v>565</v>
      </c>
      <c r="I3" s="13" t="s">
        <v>566</v>
      </c>
      <c r="J3" s="13" t="s">
        <v>567</v>
      </c>
    </row>
    <row r="4" customFormat="false" ht="15" hidden="false" customHeight="true" outlineLevel="0" collapsed="false">
      <c r="A4" s="16" t="n">
        <v>1</v>
      </c>
      <c r="B4" s="17"/>
      <c r="C4" s="17"/>
      <c r="D4" s="17"/>
      <c r="E4" s="17"/>
      <c r="F4" s="17" t="str">
        <f aca="false">IF(AND(D4&lt;&gt;"",E4&lt;&gt;""),D4+E4,"")</f>
        <v/>
      </c>
      <c r="G4" s="17"/>
      <c r="H4" s="17" t="str">
        <f aca="false">IF(AND(F4&lt;&gt;"",G4&lt;&gt;""),G4-F4,"")</f>
        <v/>
      </c>
      <c r="I4" s="27" t="str">
        <f aca="false">IF(AND(H4&lt;&gt;"",G4&lt;&gt;""),H4/G4,"")</f>
        <v/>
      </c>
      <c r="J4" s="17" t="str">
        <f aca="false">IF(I4="","",IF(I4&gt;=0.3,"✓ TARGET MET",IF(I4&gt;=0.2,"⚠ BELOW TARGET","✗ REVIEW PRICE")))</f>
        <v/>
      </c>
    </row>
    <row r="5" customFormat="false" ht="15" hidden="false" customHeight="true" outlineLevel="0" collapsed="false">
      <c r="A5" s="14" t="n">
        <v>2</v>
      </c>
      <c r="B5" s="15"/>
      <c r="C5" s="15"/>
      <c r="D5" s="15"/>
      <c r="E5" s="15"/>
      <c r="F5" s="15" t="str">
        <f aca="false">IF(AND(D5&lt;&gt;"",E5&lt;&gt;""),D5+E5,"")</f>
        <v/>
      </c>
      <c r="G5" s="15"/>
      <c r="H5" s="15" t="str">
        <f aca="false">IF(AND(F5&lt;&gt;"",G5&lt;&gt;""),G5-F5,"")</f>
        <v/>
      </c>
      <c r="I5" s="28" t="str">
        <f aca="false">IF(AND(H5&lt;&gt;"",G5&lt;&gt;""),H5/G5,"")</f>
        <v/>
      </c>
      <c r="J5" s="15" t="str">
        <f aca="false">IF(I5="","",IF(I5&gt;=0.3,"✓ TARGET MET",IF(I5&gt;=0.2,"⚠ BELOW TARGET","✗ REVIEW PRICE")))</f>
        <v/>
      </c>
    </row>
    <row r="6" customFormat="false" ht="15" hidden="false" customHeight="true" outlineLevel="0" collapsed="false">
      <c r="A6" s="16" t="n">
        <v>3</v>
      </c>
      <c r="B6" s="17"/>
      <c r="C6" s="17"/>
      <c r="D6" s="17"/>
      <c r="E6" s="17"/>
      <c r="F6" s="17" t="str">
        <f aca="false">IF(AND(D6&lt;&gt;"",E6&lt;&gt;""),D6+E6,"")</f>
        <v/>
      </c>
      <c r="G6" s="17"/>
      <c r="H6" s="17" t="str">
        <f aca="false">IF(AND(F6&lt;&gt;"",G6&lt;&gt;""),G6-F6,"")</f>
        <v/>
      </c>
      <c r="I6" s="27" t="str">
        <f aca="false">IF(AND(H6&lt;&gt;"",G6&lt;&gt;""),H6/G6,"")</f>
        <v/>
      </c>
      <c r="J6" s="17" t="str">
        <f aca="false">IF(I6="","",IF(I6&gt;=0.3,"✓ TARGET MET",IF(I6&gt;=0.2,"⚠ BELOW TARGET","✗ REVIEW PRICE")))</f>
        <v/>
      </c>
    </row>
    <row r="7" customFormat="false" ht="15" hidden="false" customHeight="true" outlineLevel="0" collapsed="false">
      <c r="A7" s="14" t="n">
        <v>4</v>
      </c>
      <c r="B7" s="15"/>
      <c r="C7" s="15"/>
      <c r="D7" s="15"/>
      <c r="E7" s="15"/>
      <c r="F7" s="15" t="str">
        <f aca="false">IF(AND(D7&lt;&gt;"",E7&lt;&gt;""),D7+E7,"")</f>
        <v/>
      </c>
      <c r="G7" s="15"/>
      <c r="H7" s="15" t="str">
        <f aca="false">IF(AND(F7&lt;&gt;"",G7&lt;&gt;""),G7-F7,"")</f>
        <v/>
      </c>
      <c r="I7" s="28" t="str">
        <f aca="false">IF(AND(H7&lt;&gt;"",G7&lt;&gt;""),H7/G7,"")</f>
        <v/>
      </c>
      <c r="J7" s="15" t="str">
        <f aca="false">IF(I7="","",IF(I7&gt;=0.3,"✓ TARGET MET",IF(I7&gt;=0.2,"⚠ BELOW TARGET","✗ REVIEW PRICE")))</f>
        <v/>
      </c>
    </row>
    <row r="8" customFormat="false" ht="15" hidden="false" customHeight="true" outlineLevel="0" collapsed="false">
      <c r="A8" s="16" t="n">
        <v>5</v>
      </c>
      <c r="B8" s="17"/>
      <c r="C8" s="17"/>
      <c r="D8" s="17"/>
      <c r="E8" s="17"/>
      <c r="F8" s="17" t="str">
        <f aca="false">IF(AND(D8&lt;&gt;"",E8&lt;&gt;""),D8+E8,"")</f>
        <v/>
      </c>
      <c r="G8" s="17"/>
      <c r="H8" s="17" t="str">
        <f aca="false">IF(AND(F8&lt;&gt;"",G8&lt;&gt;""),G8-F8,"")</f>
        <v/>
      </c>
      <c r="I8" s="27" t="str">
        <f aca="false">IF(AND(H8&lt;&gt;"",G8&lt;&gt;""),H8/G8,"")</f>
        <v/>
      </c>
      <c r="J8" s="17" t="str">
        <f aca="false">IF(I8="","",IF(I8&gt;=0.3,"✓ TARGET MET",IF(I8&gt;=0.2,"⚠ BELOW TARGET","✗ REVIEW PRICE")))</f>
        <v/>
      </c>
    </row>
    <row r="9" customFormat="false" ht="15" hidden="false" customHeight="true" outlineLevel="0" collapsed="false">
      <c r="A9" s="14" t="n">
        <v>6</v>
      </c>
      <c r="B9" s="15"/>
      <c r="C9" s="15"/>
      <c r="D9" s="15"/>
      <c r="E9" s="15"/>
      <c r="F9" s="15" t="str">
        <f aca="false">IF(AND(D9&lt;&gt;"",E9&lt;&gt;""),D9+E9,"")</f>
        <v/>
      </c>
      <c r="G9" s="15"/>
      <c r="H9" s="15" t="str">
        <f aca="false">IF(AND(F9&lt;&gt;"",G9&lt;&gt;""),G9-F9,"")</f>
        <v/>
      </c>
      <c r="I9" s="28" t="str">
        <f aca="false">IF(AND(H9&lt;&gt;"",G9&lt;&gt;""),H9/G9,"")</f>
        <v/>
      </c>
      <c r="J9" s="15" t="str">
        <f aca="false">IF(I9="","",IF(I9&gt;=0.3,"✓ TARGET MET",IF(I9&gt;=0.2,"⚠ BELOW TARGET","✗ REVIEW PRICE")))</f>
        <v/>
      </c>
    </row>
    <row r="10" customFormat="false" ht="15" hidden="false" customHeight="true" outlineLevel="0" collapsed="false">
      <c r="A10" s="16" t="n">
        <v>7</v>
      </c>
      <c r="B10" s="17"/>
      <c r="C10" s="17"/>
      <c r="D10" s="17"/>
      <c r="E10" s="17"/>
      <c r="F10" s="17" t="str">
        <f aca="false">IF(AND(D10&lt;&gt;"",E10&lt;&gt;""),D10+E10,"")</f>
        <v/>
      </c>
      <c r="G10" s="17"/>
      <c r="H10" s="17" t="str">
        <f aca="false">IF(AND(F10&lt;&gt;"",G10&lt;&gt;""),G10-F10,"")</f>
        <v/>
      </c>
      <c r="I10" s="27" t="str">
        <f aca="false">IF(AND(H10&lt;&gt;"",G10&lt;&gt;""),H10/G10,"")</f>
        <v/>
      </c>
      <c r="J10" s="17" t="str">
        <f aca="false">IF(I10="","",IF(I10&gt;=0.3,"✓ TARGET MET",IF(I10&gt;=0.2,"⚠ BELOW TARGET","✗ REVIEW PRICE")))</f>
        <v/>
      </c>
    </row>
    <row r="11" customFormat="false" ht="15" hidden="false" customHeight="true" outlineLevel="0" collapsed="false">
      <c r="A11" s="14" t="n">
        <v>8</v>
      </c>
      <c r="B11" s="15"/>
      <c r="C11" s="15"/>
      <c r="D11" s="15"/>
      <c r="E11" s="15"/>
      <c r="F11" s="15" t="str">
        <f aca="false">IF(AND(D11&lt;&gt;"",E11&lt;&gt;""),D11+E11,"")</f>
        <v/>
      </c>
      <c r="G11" s="15"/>
      <c r="H11" s="15" t="str">
        <f aca="false">IF(AND(F11&lt;&gt;"",G11&lt;&gt;""),G11-F11,"")</f>
        <v/>
      </c>
      <c r="I11" s="28" t="str">
        <f aca="false">IF(AND(H11&lt;&gt;"",G11&lt;&gt;""),H11/G11,"")</f>
        <v/>
      </c>
      <c r="J11" s="15" t="str">
        <f aca="false">IF(I11="","",IF(I11&gt;=0.3,"✓ TARGET MET",IF(I11&gt;=0.2,"⚠ BELOW TARGET","✗ REVIEW PRICE")))</f>
        <v/>
      </c>
    </row>
    <row r="12" customFormat="false" ht="15" hidden="false" customHeight="true" outlineLevel="0" collapsed="false">
      <c r="A12" s="16" t="n">
        <v>9</v>
      </c>
      <c r="B12" s="17"/>
      <c r="C12" s="17"/>
      <c r="D12" s="17"/>
      <c r="E12" s="17"/>
      <c r="F12" s="17" t="str">
        <f aca="false">IF(AND(D12&lt;&gt;"",E12&lt;&gt;""),D12+E12,"")</f>
        <v/>
      </c>
      <c r="G12" s="17"/>
      <c r="H12" s="17" t="str">
        <f aca="false">IF(AND(F12&lt;&gt;"",G12&lt;&gt;""),G12-F12,"")</f>
        <v/>
      </c>
      <c r="I12" s="27" t="str">
        <f aca="false">IF(AND(H12&lt;&gt;"",G12&lt;&gt;""),H12/G12,"")</f>
        <v/>
      </c>
      <c r="J12" s="17" t="str">
        <f aca="false">IF(I12="","",IF(I12&gt;=0.3,"✓ TARGET MET",IF(I12&gt;=0.2,"⚠ BELOW TARGET","✗ REVIEW PRICE")))</f>
        <v/>
      </c>
    </row>
    <row r="13" customFormat="false" ht="15" hidden="false" customHeight="true" outlineLevel="0" collapsed="false">
      <c r="A13" s="14" t="n">
        <v>10</v>
      </c>
      <c r="B13" s="15"/>
      <c r="C13" s="15"/>
      <c r="D13" s="15"/>
      <c r="E13" s="15"/>
      <c r="F13" s="15" t="str">
        <f aca="false">IF(AND(D13&lt;&gt;"",E13&lt;&gt;""),D13+E13,"")</f>
        <v/>
      </c>
      <c r="G13" s="15"/>
      <c r="H13" s="15" t="str">
        <f aca="false">IF(AND(F13&lt;&gt;"",G13&lt;&gt;""),G13-F13,"")</f>
        <v/>
      </c>
      <c r="I13" s="28" t="str">
        <f aca="false">IF(AND(H13&lt;&gt;"",G13&lt;&gt;""),H13/G13,"")</f>
        <v/>
      </c>
      <c r="J13" s="15" t="str">
        <f aca="false">IF(I13="","",IF(I13&gt;=0.3,"✓ TARGET MET",IF(I13&gt;=0.2,"⚠ BELOW TARGET","✗ REVIEW PRICE")))</f>
        <v/>
      </c>
    </row>
    <row r="14" customFormat="false" ht="15" hidden="false" customHeight="true" outlineLevel="0" collapsed="false">
      <c r="A14" s="16" t="n">
        <v>11</v>
      </c>
      <c r="B14" s="17"/>
      <c r="C14" s="17"/>
      <c r="D14" s="17"/>
      <c r="E14" s="17"/>
      <c r="F14" s="17" t="str">
        <f aca="false">IF(AND(D14&lt;&gt;"",E14&lt;&gt;""),D14+E14,"")</f>
        <v/>
      </c>
      <c r="G14" s="17"/>
      <c r="H14" s="17" t="str">
        <f aca="false">IF(AND(F14&lt;&gt;"",G14&lt;&gt;""),G14-F14,"")</f>
        <v/>
      </c>
      <c r="I14" s="27" t="str">
        <f aca="false">IF(AND(H14&lt;&gt;"",G14&lt;&gt;""),H14/G14,"")</f>
        <v/>
      </c>
      <c r="J14" s="17" t="str">
        <f aca="false">IF(I14="","",IF(I14&gt;=0.3,"✓ TARGET MET",IF(I14&gt;=0.2,"⚠ BELOW TARGET","✗ REVIEW PRICE")))</f>
        <v/>
      </c>
    </row>
    <row r="15" customFormat="false" ht="15" hidden="false" customHeight="true" outlineLevel="0" collapsed="false">
      <c r="A15" s="14" t="n">
        <v>12</v>
      </c>
      <c r="B15" s="15"/>
      <c r="C15" s="15"/>
      <c r="D15" s="15"/>
      <c r="E15" s="15"/>
      <c r="F15" s="15" t="str">
        <f aca="false">IF(AND(D15&lt;&gt;"",E15&lt;&gt;""),D15+E15,"")</f>
        <v/>
      </c>
      <c r="G15" s="15"/>
      <c r="H15" s="15" t="str">
        <f aca="false">IF(AND(F15&lt;&gt;"",G15&lt;&gt;""),G15-F15,"")</f>
        <v/>
      </c>
      <c r="I15" s="28" t="str">
        <f aca="false">IF(AND(H15&lt;&gt;"",G15&lt;&gt;""),H15/G15,"")</f>
        <v/>
      </c>
      <c r="J15" s="15" t="str">
        <f aca="false">IF(I15="","",IF(I15&gt;=0.3,"✓ TARGET MET",IF(I15&gt;=0.2,"⚠ BELOW TARGET","✗ REVIEW PRICE")))</f>
        <v/>
      </c>
    </row>
    <row r="16" customFormat="false" ht="15" hidden="false" customHeight="true" outlineLevel="0" collapsed="false">
      <c r="A16" s="16" t="n">
        <v>13</v>
      </c>
      <c r="B16" s="17"/>
      <c r="C16" s="17"/>
      <c r="D16" s="17"/>
      <c r="E16" s="17"/>
      <c r="F16" s="17" t="str">
        <f aca="false">IF(AND(D16&lt;&gt;"",E16&lt;&gt;""),D16+E16,"")</f>
        <v/>
      </c>
      <c r="G16" s="17"/>
      <c r="H16" s="17" t="str">
        <f aca="false">IF(AND(F16&lt;&gt;"",G16&lt;&gt;""),G16-F16,"")</f>
        <v/>
      </c>
      <c r="I16" s="27" t="str">
        <f aca="false">IF(AND(H16&lt;&gt;"",G16&lt;&gt;""),H16/G16,"")</f>
        <v/>
      </c>
      <c r="J16" s="17" t="str">
        <f aca="false">IF(I16="","",IF(I16&gt;=0.3,"✓ TARGET MET",IF(I16&gt;=0.2,"⚠ BELOW TARGET","✗ REVIEW PRICE")))</f>
        <v/>
      </c>
    </row>
    <row r="17" customFormat="false" ht="15" hidden="false" customHeight="true" outlineLevel="0" collapsed="false">
      <c r="A17" s="14" t="n">
        <v>14</v>
      </c>
      <c r="B17" s="15"/>
      <c r="C17" s="15"/>
      <c r="D17" s="15"/>
      <c r="E17" s="15"/>
      <c r="F17" s="15" t="str">
        <f aca="false">IF(AND(D17&lt;&gt;"",E17&lt;&gt;""),D17+E17,"")</f>
        <v/>
      </c>
      <c r="G17" s="15"/>
      <c r="H17" s="15" t="str">
        <f aca="false">IF(AND(F17&lt;&gt;"",G17&lt;&gt;""),G17-F17,"")</f>
        <v/>
      </c>
      <c r="I17" s="28" t="str">
        <f aca="false">IF(AND(H17&lt;&gt;"",G17&lt;&gt;""),H17/G17,"")</f>
        <v/>
      </c>
      <c r="J17" s="15" t="str">
        <f aca="false">IF(I17="","",IF(I17&gt;=0.3,"✓ TARGET MET",IF(I17&gt;=0.2,"⚠ BELOW TARGET","✗ REVIEW PRICE")))</f>
        <v/>
      </c>
    </row>
    <row r="18" customFormat="false" ht="15" hidden="false" customHeight="true" outlineLevel="0" collapsed="false">
      <c r="A18" s="16" t="n">
        <v>15</v>
      </c>
      <c r="B18" s="17"/>
      <c r="C18" s="17"/>
      <c r="D18" s="17"/>
      <c r="E18" s="17"/>
      <c r="F18" s="17" t="str">
        <f aca="false">IF(AND(D18&lt;&gt;"",E18&lt;&gt;""),D18+E18,"")</f>
        <v/>
      </c>
      <c r="G18" s="17"/>
      <c r="H18" s="17" t="str">
        <f aca="false">IF(AND(F18&lt;&gt;"",G18&lt;&gt;""),G18-F18,"")</f>
        <v/>
      </c>
      <c r="I18" s="27" t="str">
        <f aca="false">IF(AND(H18&lt;&gt;"",G18&lt;&gt;""),H18/G18,"")</f>
        <v/>
      </c>
      <c r="J18" s="17" t="str">
        <f aca="false">IF(I18="","",IF(I18&gt;=0.3,"✓ TARGET MET",IF(I18&gt;=0.2,"⚠ BELOW TARGET","✗ REVIEW PRICE")))</f>
        <v/>
      </c>
    </row>
    <row r="19" customFormat="false" ht="15" hidden="false" customHeight="true" outlineLevel="0" collapsed="false">
      <c r="A19" s="14" t="n">
        <v>16</v>
      </c>
      <c r="B19" s="15"/>
      <c r="C19" s="15"/>
      <c r="D19" s="15"/>
      <c r="E19" s="15"/>
      <c r="F19" s="15" t="str">
        <f aca="false">IF(AND(D19&lt;&gt;"",E19&lt;&gt;""),D19+E19,"")</f>
        <v/>
      </c>
      <c r="G19" s="15"/>
      <c r="H19" s="15" t="str">
        <f aca="false">IF(AND(F19&lt;&gt;"",G19&lt;&gt;""),G19-F19,"")</f>
        <v/>
      </c>
      <c r="I19" s="28" t="str">
        <f aca="false">IF(AND(H19&lt;&gt;"",G19&lt;&gt;""),H19/G19,"")</f>
        <v/>
      </c>
      <c r="J19" s="15" t="str">
        <f aca="false">IF(I19="","",IF(I19&gt;=0.3,"✓ TARGET MET",IF(I19&gt;=0.2,"⚠ BELOW TARGET","✗ REVIEW PRICE")))</f>
        <v/>
      </c>
    </row>
    <row r="20" customFormat="false" ht="15" hidden="false" customHeight="true" outlineLevel="0" collapsed="false">
      <c r="A20" s="16" t="n">
        <v>17</v>
      </c>
      <c r="B20" s="17"/>
      <c r="C20" s="17"/>
      <c r="D20" s="17"/>
      <c r="E20" s="17"/>
      <c r="F20" s="17" t="str">
        <f aca="false">IF(AND(D20&lt;&gt;"",E20&lt;&gt;""),D20+E20,"")</f>
        <v/>
      </c>
      <c r="G20" s="17"/>
      <c r="H20" s="17" t="str">
        <f aca="false">IF(AND(F20&lt;&gt;"",G20&lt;&gt;""),G20-F20,"")</f>
        <v/>
      </c>
      <c r="I20" s="27" t="str">
        <f aca="false">IF(AND(H20&lt;&gt;"",G20&lt;&gt;""),H20/G20,"")</f>
        <v/>
      </c>
      <c r="J20" s="17" t="str">
        <f aca="false">IF(I20="","",IF(I20&gt;=0.3,"✓ TARGET MET",IF(I20&gt;=0.2,"⚠ BELOW TARGET","✗ REVIEW PRICE")))</f>
        <v/>
      </c>
    </row>
    <row r="21" customFormat="false" ht="15" hidden="false" customHeight="true" outlineLevel="0" collapsed="false">
      <c r="A21" s="14" t="n">
        <v>18</v>
      </c>
      <c r="B21" s="15"/>
      <c r="C21" s="15"/>
      <c r="D21" s="15"/>
      <c r="E21" s="15"/>
      <c r="F21" s="15" t="str">
        <f aca="false">IF(AND(D21&lt;&gt;"",E21&lt;&gt;""),D21+E21,"")</f>
        <v/>
      </c>
      <c r="G21" s="15"/>
      <c r="H21" s="15" t="str">
        <f aca="false">IF(AND(F21&lt;&gt;"",G21&lt;&gt;""),G21-F21,"")</f>
        <v/>
      </c>
      <c r="I21" s="28" t="str">
        <f aca="false">IF(AND(H21&lt;&gt;"",G21&lt;&gt;""),H21/G21,"")</f>
        <v/>
      </c>
      <c r="J21" s="15" t="str">
        <f aca="false">IF(I21="","",IF(I21&gt;=0.3,"✓ TARGET MET",IF(I21&gt;=0.2,"⚠ BELOW TARGET","✗ REVIEW PRICE")))</f>
        <v/>
      </c>
    </row>
    <row r="22" customFormat="false" ht="15" hidden="false" customHeight="true" outlineLevel="0" collapsed="false">
      <c r="A22" s="16" t="n">
        <v>19</v>
      </c>
      <c r="B22" s="17"/>
      <c r="C22" s="17"/>
      <c r="D22" s="17"/>
      <c r="E22" s="17"/>
      <c r="F22" s="17" t="str">
        <f aca="false">IF(AND(D22&lt;&gt;"",E22&lt;&gt;""),D22+E22,"")</f>
        <v/>
      </c>
      <c r="G22" s="17"/>
      <c r="H22" s="17" t="str">
        <f aca="false">IF(AND(F22&lt;&gt;"",G22&lt;&gt;""),G22-F22,"")</f>
        <v/>
      </c>
      <c r="I22" s="27" t="str">
        <f aca="false">IF(AND(H22&lt;&gt;"",G22&lt;&gt;""),H22/G22,"")</f>
        <v/>
      </c>
      <c r="J22" s="17" t="str">
        <f aca="false">IF(I22="","",IF(I22&gt;=0.3,"✓ TARGET MET",IF(I22&gt;=0.2,"⚠ BELOW TARGET","✗ REVIEW PRICE")))</f>
        <v/>
      </c>
    </row>
    <row r="23" customFormat="false" ht="15" hidden="false" customHeight="true" outlineLevel="0" collapsed="false">
      <c r="A23" s="14" t="n">
        <v>20</v>
      </c>
      <c r="B23" s="15"/>
      <c r="C23" s="15"/>
      <c r="D23" s="15"/>
      <c r="E23" s="15"/>
      <c r="F23" s="15" t="str">
        <f aca="false">IF(AND(D23&lt;&gt;"",E23&lt;&gt;""),D23+E23,"")</f>
        <v/>
      </c>
      <c r="G23" s="15"/>
      <c r="H23" s="15" t="str">
        <f aca="false">IF(AND(F23&lt;&gt;"",G23&lt;&gt;""),G23-F23,"")</f>
        <v/>
      </c>
      <c r="I23" s="28" t="str">
        <f aca="false">IF(AND(H23&lt;&gt;"",G23&lt;&gt;""),H23/G23,"")</f>
        <v/>
      </c>
      <c r="J23" s="15" t="str">
        <f aca="false">IF(I23="","",IF(I23&gt;=0.3,"✓ TARGET MET",IF(I23&gt;=0.2,"⚠ BELOW TARGET","✗ REVIEW PRICE")))</f>
        <v/>
      </c>
    </row>
    <row r="24" customFormat="false" ht="15" hidden="false" customHeight="true" outlineLevel="0" collapsed="false">
      <c r="A24" s="16" t="n">
        <v>21</v>
      </c>
      <c r="B24" s="17"/>
      <c r="C24" s="17"/>
      <c r="D24" s="17"/>
      <c r="E24" s="17"/>
      <c r="F24" s="17" t="str">
        <f aca="false">IF(AND(D24&lt;&gt;"",E24&lt;&gt;""),D24+E24,"")</f>
        <v/>
      </c>
      <c r="G24" s="17"/>
      <c r="H24" s="17" t="str">
        <f aca="false">IF(AND(F24&lt;&gt;"",G24&lt;&gt;""),G24-F24,"")</f>
        <v/>
      </c>
      <c r="I24" s="27" t="str">
        <f aca="false">IF(AND(H24&lt;&gt;"",G24&lt;&gt;""),H24/G24,"")</f>
        <v/>
      </c>
      <c r="J24" s="17" t="str">
        <f aca="false">IF(I24="","",IF(I24&gt;=0.3,"✓ TARGET MET",IF(I24&gt;=0.2,"⚠ BELOW TARGET","✗ REVIEW PRICE")))</f>
        <v/>
      </c>
    </row>
    <row r="25" customFormat="false" ht="15" hidden="false" customHeight="true" outlineLevel="0" collapsed="false">
      <c r="A25" s="14" t="n">
        <v>22</v>
      </c>
      <c r="B25" s="15"/>
      <c r="C25" s="15"/>
      <c r="D25" s="15"/>
      <c r="E25" s="15"/>
      <c r="F25" s="15" t="str">
        <f aca="false">IF(AND(D25&lt;&gt;"",E25&lt;&gt;""),D25+E25,"")</f>
        <v/>
      </c>
      <c r="G25" s="15"/>
      <c r="H25" s="15" t="str">
        <f aca="false">IF(AND(F25&lt;&gt;"",G25&lt;&gt;""),G25-F25,"")</f>
        <v/>
      </c>
      <c r="I25" s="28" t="str">
        <f aca="false">IF(AND(H25&lt;&gt;"",G25&lt;&gt;""),H25/G25,"")</f>
        <v/>
      </c>
      <c r="J25" s="15" t="str">
        <f aca="false">IF(I25="","",IF(I25&gt;=0.3,"✓ TARGET MET",IF(I25&gt;=0.2,"⚠ BELOW TARGET","✗ REVIEW PRICE")))</f>
        <v/>
      </c>
    </row>
    <row r="26" customFormat="false" ht="15" hidden="false" customHeight="true" outlineLevel="0" collapsed="false">
      <c r="A26" s="16" t="n">
        <v>23</v>
      </c>
      <c r="B26" s="17"/>
      <c r="C26" s="17"/>
      <c r="D26" s="17"/>
      <c r="E26" s="17"/>
      <c r="F26" s="17" t="str">
        <f aca="false">IF(AND(D26&lt;&gt;"",E26&lt;&gt;""),D26+E26,"")</f>
        <v/>
      </c>
      <c r="G26" s="17"/>
      <c r="H26" s="17" t="str">
        <f aca="false">IF(AND(F26&lt;&gt;"",G26&lt;&gt;""),G26-F26,"")</f>
        <v/>
      </c>
      <c r="I26" s="27" t="str">
        <f aca="false">IF(AND(H26&lt;&gt;"",G26&lt;&gt;""),H26/G26,"")</f>
        <v/>
      </c>
      <c r="J26" s="17" t="str">
        <f aca="false">IF(I26="","",IF(I26&gt;=0.3,"✓ TARGET MET",IF(I26&gt;=0.2,"⚠ BELOW TARGET","✗ REVIEW PRICE")))</f>
        <v/>
      </c>
    </row>
    <row r="27" customFormat="false" ht="15" hidden="false" customHeight="true" outlineLevel="0" collapsed="false">
      <c r="A27" s="14" t="n">
        <v>24</v>
      </c>
      <c r="B27" s="15"/>
      <c r="C27" s="15"/>
      <c r="D27" s="15"/>
      <c r="E27" s="15"/>
      <c r="F27" s="15" t="str">
        <f aca="false">IF(AND(D27&lt;&gt;"",E27&lt;&gt;""),D27+E27,"")</f>
        <v/>
      </c>
      <c r="G27" s="15"/>
      <c r="H27" s="15" t="str">
        <f aca="false">IF(AND(F27&lt;&gt;"",G27&lt;&gt;""),G27-F27,"")</f>
        <v/>
      </c>
      <c r="I27" s="28" t="str">
        <f aca="false">IF(AND(H27&lt;&gt;"",G27&lt;&gt;""),H27/G27,"")</f>
        <v/>
      </c>
      <c r="J27" s="15" t="str">
        <f aca="false">IF(I27="","",IF(I27&gt;=0.3,"✓ TARGET MET",IF(I27&gt;=0.2,"⚠ BELOW TARGET","✗ REVIEW PRICE")))</f>
        <v/>
      </c>
    </row>
    <row r="28" customFormat="false" ht="15" hidden="false" customHeight="true" outlineLevel="0" collapsed="false">
      <c r="A28" s="16" t="n">
        <v>25</v>
      </c>
      <c r="B28" s="17"/>
      <c r="C28" s="17"/>
      <c r="D28" s="17"/>
      <c r="E28" s="17"/>
      <c r="F28" s="17" t="str">
        <f aca="false">IF(AND(D28&lt;&gt;"",E28&lt;&gt;""),D28+E28,"")</f>
        <v/>
      </c>
      <c r="G28" s="17"/>
      <c r="H28" s="17" t="str">
        <f aca="false">IF(AND(F28&lt;&gt;"",G28&lt;&gt;""),G28-F28,"")</f>
        <v/>
      </c>
      <c r="I28" s="27" t="str">
        <f aca="false">IF(AND(H28&lt;&gt;"",G28&lt;&gt;""),H28/G28,"")</f>
        <v/>
      </c>
      <c r="J28" s="17" t="str">
        <f aca="false">IF(I28="","",IF(I28&gt;=0.3,"✓ TARGET MET",IF(I28&gt;=0.2,"⚠ BELOW TARGET","✗ REVIEW PRICE")))</f>
        <v/>
      </c>
    </row>
    <row r="29" customFormat="false" ht="15" hidden="false" customHeight="true" outlineLevel="0" collapsed="false">
      <c r="A29" s="14" t="n">
        <v>26</v>
      </c>
      <c r="B29" s="15"/>
      <c r="C29" s="15"/>
      <c r="D29" s="15"/>
      <c r="E29" s="15"/>
      <c r="F29" s="15" t="str">
        <f aca="false">IF(AND(D29&lt;&gt;"",E29&lt;&gt;""),D29+E29,"")</f>
        <v/>
      </c>
      <c r="G29" s="15"/>
      <c r="H29" s="15" t="str">
        <f aca="false">IF(AND(F29&lt;&gt;"",G29&lt;&gt;""),G29-F29,"")</f>
        <v/>
      </c>
      <c r="I29" s="28" t="str">
        <f aca="false">IF(AND(H29&lt;&gt;"",G29&lt;&gt;""),H29/G29,"")</f>
        <v/>
      </c>
      <c r="J29" s="15" t="str">
        <f aca="false">IF(I29="","",IF(I29&gt;=0.3,"✓ TARGET MET",IF(I29&gt;=0.2,"⚠ BELOW TARGET","✗ REVIEW PRICE")))</f>
        <v/>
      </c>
    </row>
    <row r="30" customFormat="false" ht="15" hidden="false" customHeight="true" outlineLevel="0" collapsed="false">
      <c r="A30" s="16" t="n">
        <v>27</v>
      </c>
      <c r="B30" s="17"/>
      <c r="C30" s="17"/>
      <c r="D30" s="17"/>
      <c r="E30" s="17"/>
      <c r="F30" s="17" t="str">
        <f aca="false">IF(AND(D30&lt;&gt;"",E30&lt;&gt;""),D30+E30,"")</f>
        <v/>
      </c>
      <c r="G30" s="17"/>
      <c r="H30" s="17" t="str">
        <f aca="false">IF(AND(F30&lt;&gt;"",G30&lt;&gt;""),G30-F30,"")</f>
        <v/>
      </c>
      <c r="I30" s="27" t="str">
        <f aca="false">IF(AND(H30&lt;&gt;"",G30&lt;&gt;""),H30/G30,"")</f>
        <v/>
      </c>
      <c r="J30" s="17" t="str">
        <f aca="false">IF(I30="","",IF(I30&gt;=0.3,"✓ TARGET MET",IF(I30&gt;=0.2,"⚠ BELOW TARGET","✗ REVIEW PRICE")))</f>
        <v/>
      </c>
    </row>
    <row r="31" customFormat="false" ht="15" hidden="false" customHeight="true" outlineLevel="0" collapsed="false">
      <c r="A31" s="14" t="n">
        <v>28</v>
      </c>
      <c r="B31" s="15"/>
      <c r="C31" s="15"/>
      <c r="D31" s="15"/>
      <c r="E31" s="15"/>
      <c r="F31" s="15" t="str">
        <f aca="false">IF(AND(D31&lt;&gt;"",E31&lt;&gt;""),D31+E31,"")</f>
        <v/>
      </c>
      <c r="G31" s="15"/>
      <c r="H31" s="15" t="str">
        <f aca="false">IF(AND(F31&lt;&gt;"",G31&lt;&gt;""),G31-F31,"")</f>
        <v/>
      </c>
      <c r="I31" s="28" t="str">
        <f aca="false">IF(AND(H31&lt;&gt;"",G31&lt;&gt;""),H31/G31,"")</f>
        <v/>
      </c>
      <c r="J31" s="15" t="str">
        <f aca="false">IF(I31="","",IF(I31&gt;=0.3,"✓ TARGET MET",IF(I31&gt;=0.2,"⚠ BELOW TARGET","✗ REVIEW PRICE")))</f>
        <v/>
      </c>
    </row>
    <row r="32" customFormat="false" ht="15" hidden="false" customHeight="true" outlineLevel="0" collapsed="false">
      <c r="A32" s="16" t="n">
        <v>29</v>
      </c>
      <c r="B32" s="17"/>
      <c r="C32" s="17"/>
      <c r="D32" s="17"/>
      <c r="E32" s="17"/>
      <c r="F32" s="17" t="str">
        <f aca="false">IF(AND(D32&lt;&gt;"",E32&lt;&gt;""),D32+E32,"")</f>
        <v/>
      </c>
      <c r="G32" s="17"/>
      <c r="H32" s="17" t="str">
        <f aca="false">IF(AND(F32&lt;&gt;"",G32&lt;&gt;""),G32-F32,"")</f>
        <v/>
      </c>
      <c r="I32" s="27" t="str">
        <f aca="false">IF(AND(H32&lt;&gt;"",G32&lt;&gt;""),H32/G32,"")</f>
        <v/>
      </c>
      <c r="J32" s="17" t="str">
        <f aca="false">IF(I32="","",IF(I32&gt;=0.3,"✓ TARGET MET",IF(I32&gt;=0.2,"⚠ BELOW TARGET","✗ REVIEW PRICE")))</f>
        <v/>
      </c>
    </row>
    <row r="33" customFormat="false" ht="15" hidden="false" customHeight="true" outlineLevel="0" collapsed="false">
      <c r="A33" s="14" t="n">
        <v>30</v>
      </c>
      <c r="B33" s="15"/>
      <c r="C33" s="15"/>
      <c r="D33" s="15"/>
      <c r="E33" s="15"/>
      <c r="F33" s="15" t="str">
        <f aca="false">IF(AND(D33&lt;&gt;"",E33&lt;&gt;""),D33+E33,"")</f>
        <v/>
      </c>
      <c r="G33" s="15"/>
      <c r="H33" s="15" t="str">
        <f aca="false">IF(AND(F33&lt;&gt;"",G33&lt;&gt;""),G33-F33,"")</f>
        <v/>
      </c>
      <c r="I33" s="28" t="str">
        <f aca="false">IF(AND(H33&lt;&gt;"",G33&lt;&gt;""),H33/G33,"")</f>
        <v/>
      </c>
      <c r="J33" s="15" t="str">
        <f aca="false">IF(I33="","",IF(I33&gt;=0.3,"✓ TARGET MET",IF(I33&gt;=0.2,"⚠ BELOW TARGET","✗ REVIEW PRICE")))</f>
        <v/>
      </c>
    </row>
    <row r="34" customFormat="false" ht="16.5" hidden="false" customHeight="true" outlineLevel="0" collapsed="false">
      <c r="A34" s="29" t="s">
        <v>568</v>
      </c>
      <c r="B34" s="29"/>
      <c r="C34" s="29"/>
      <c r="D34" s="30" t="n">
        <f aca="false">SUM(D4:D33)</f>
        <v>0</v>
      </c>
      <c r="E34" s="30" t="n">
        <f aca="false">SUM(E4:E33)</f>
        <v>0</v>
      </c>
      <c r="F34" s="30" t="n">
        <f aca="false">SUM(F4:F33)</f>
        <v>0</v>
      </c>
      <c r="G34" s="30" t="n">
        <f aca="false">SUM(G4:G33)</f>
        <v>0</v>
      </c>
      <c r="H34" s="30" t="n">
        <f aca="false">SUM(H4:H33)</f>
        <v>0</v>
      </c>
      <c r="I34" s="31" t="str">
        <f aca="false">IF(G34&gt;0,H34/G34,"")</f>
        <v/>
      </c>
      <c r="J34" s="32"/>
    </row>
    <row r="35" customFormat="false" ht="4.5" hidden="false" customHeight="true" outlineLevel="0" collapsed="false"/>
    <row r="36" customFormat="false" ht="21.75" hidden="false" customHeight="true" outlineLevel="0" collapsed="false">
      <c r="A36" s="4" t="s">
        <v>569</v>
      </c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5.75" hidden="false" customHeight="true" outlineLevel="0" collapsed="false">
      <c r="A37" s="5" t="s">
        <v>570</v>
      </c>
      <c r="B37" s="5"/>
      <c r="C37" s="5"/>
      <c r="D37" s="5"/>
      <c r="E37" s="5"/>
      <c r="F37" s="5"/>
      <c r="G37" s="5"/>
      <c r="H37" s="33" t="n">
        <f aca="false">COUNTIF(J4:J33,"✓ TARGET MET")</f>
        <v>0</v>
      </c>
      <c r="I37" s="33"/>
      <c r="J37" s="33"/>
    </row>
    <row r="38" customFormat="false" ht="15.75" hidden="false" customHeight="true" outlineLevel="0" collapsed="false">
      <c r="A38" s="5" t="s">
        <v>571</v>
      </c>
      <c r="B38" s="5"/>
      <c r="C38" s="5"/>
      <c r="D38" s="5"/>
      <c r="E38" s="5"/>
      <c r="F38" s="5"/>
      <c r="G38" s="5"/>
      <c r="H38" s="33" t="n">
        <f aca="false">COUNTIF(J4:J33,"⚠ BELOW TARGET")</f>
        <v>0</v>
      </c>
      <c r="I38" s="33"/>
      <c r="J38" s="33"/>
    </row>
    <row r="39" customFormat="false" ht="15.75" hidden="false" customHeight="true" outlineLevel="0" collapsed="false">
      <c r="A39" s="5" t="s">
        <v>572</v>
      </c>
      <c r="B39" s="5"/>
      <c r="C39" s="5"/>
      <c r="D39" s="5"/>
      <c r="E39" s="5"/>
      <c r="F39" s="5"/>
      <c r="G39" s="5"/>
      <c r="H39" s="33" t="n">
        <f aca="false">COUNTIF(J4:J33,"✗ REVIEW PRICE")</f>
        <v>0</v>
      </c>
      <c r="I39" s="33"/>
      <c r="J39" s="33"/>
    </row>
    <row r="40" customFormat="false" ht="15.75" hidden="false" customHeight="true" outlineLevel="0" collapsed="false">
      <c r="A40" s="5" t="s">
        <v>573</v>
      </c>
      <c r="B40" s="5"/>
      <c r="C40" s="5"/>
      <c r="D40" s="5"/>
      <c r="E40" s="5"/>
      <c r="F40" s="5"/>
      <c r="G40" s="5"/>
      <c r="H40" s="34" t="str">
        <f aca="false">IF(G34&gt;0,H34/G34,"")</f>
        <v/>
      </c>
      <c r="I40" s="34"/>
      <c r="J40" s="34"/>
    </row>
    <row r="41" customFormat="false" ht="15.75" hidden="false" customHeight="true" outlineLevel="0" collapsed="false">
      <c r="A41" s="5" t="s">
        <v>574</v>
      </c>
      <c r="B41" s="5"/>
      <c r="C41" s="5"/>
      <c r="D41" s="5"/>
      <c r="E41" s="5"/>
      <c r="F41" s="5"/>
      <c r="G41" s="5"/>
      <c r="H41" s="33" t="n">
        <f aca="false">SUM(G4:G33)</f>
        <v>0</v>
      </c>
      <c r="I41" s="33"/>
      <c r="J41" s="33"/>
    </row>
    <row r="42" customFormat="false" ht="15.75" hidden="false" customHeight="true" outlineLevel="0" collapsed="false">
      <c r="A42" s="5" t="s">
        <v>575</v>
      </c>
      <c r="B42" s="5"/>
      <c r="C42" s="5"/>
      <c r="D42" s="5"/>
      <c r="E42" s="5"/>
      <c r="F42" s="5"/>
      <c r="G42" s="5"/>
      <c r="H42" s="33" t="n">
        <f aca="false">SUM(H4:H33)</f>
        <v>0</v>
      </c>
      <c r="I42" s="33"/>
      <c r="J42" s="33"/>
    </row>
    <row r="43" customFormat="false" ht="4.5" hidden="false" customHeight="true" outlineLevel="0" collapsed="false"/>
    <row r="44" customFormat="false" ht="18" hidden="false" customHeight="true" outlineLevel="0" collapsed="false">
      <c r="A44" s="12" t="s">
        <v>47</v>
      </c>
      <c r="B44" s="12"/>
      <c r="C44" s="12"/>
      <c r="D44" s="12"/>
      <c r="E44" s="12"/>
      <c r="F44" s="12"/>
      <c r="G44" s="12"/>
      <c r="H44" s="12"/>
      <c r="I44" s="12"/>
      <c r="J44" s="12"/>
    </row>
  </sheetData>
  <mergeCells count="18">
    <mergeCell ref="A1:E1"/>
    <mergeCell ref="F1:J1"/>
    <mergeCell ref="A2:J2"/>
    <mergeCell ref="A34:C34"/>
    <mergeCell ref="A36:J36"/>
    <mergeCell ref="A37:G37"/>
    <mergeCell ref="H37:J37"/>
    <mergeCell ref="A38:G38"/>
    <mergeCell ref="H38:J38"/>
    <mergeCell ref="A39:G39"/>
    <mergeCell ref="H39:J39"/>
    <mergeCell ref="A40:G40"/>
    <mergeCell ref="H40:J40"/>
    <mergeCell ref="A41:G41"/>
    <mergeCell ref="H41:J41"/>
    <mergeCell ref="A42:G42"/>
    <mergeCell ref="H42:J42"/>
    <mergeCell ref="A44:J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2026-03-20T12:51:44Z</dcterms:created>
  <dc:creator>openpyxl</dc:creator>
  <dc:description/>
  <dc:language>en-US</dc:language>
  <cp:lastModifiedBy/>
  <dcterms:modified xsi:type="dcterms:W3CDTF">2026-03-20T12:51:44Z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