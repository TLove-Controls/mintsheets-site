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PM Programme Cover" sheetId="1" state="visible" r:id="rId3"/>
    <sheet name="Asset Register" sheetId="2" state="visible" r:id="rId4"/>
    <sheet name="Annual PPM Planner" sheetId="3" state="visible" r:id="rId5"/>
    <sheet name="Monthly Visit Record" sheetId="4" state="visible" r:id="rId6"/>
    <sheet name="AHU PPM" sheetId="5" state="visible" r:id="rId7"/>
    <sheet name="RTU PPM" sheetId="6" state="visible" r:id="rId8"/>
    <sheet name="Chiller PPM" sheetId="7" state="visible" r:id="rId9"/>
    <sheet name="Boiler PPM" sheetId="8" state="visible" r:id="rId10"/>
    <sheet name="FCU &amp; Split System PPM" sheetId="9" state="visible" r:id="rId11"/>
    <sheet name="Refrigerant F-Gas Log" sheetId="10" state="visible" r:id="rId12"/>
    <sheet name="Deficiency Log" sheetId="11" state="visible" r:id="rId13"/>
    <sheet name="KPI &amp; Performance Report" sheetId="12" state="visible" r:id="rId14"/>
    <sheet name="Parts &amp; Cost Tracker" sheetId="13" state="visible" r:id="rId15"/>
    <sheet name="Summary &amp; Client Sign-Off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<sst xmlns="http://schemas.openxmlformats.org/spreadsheetml/2006/main" count="1536" uniqueCount="564">
  <si>
    <t xml:space="preserve">Your HVAC Co.</t>
  </si>
  <si>
    <t xml:space="preserve">HVAC PPM Checklist</t>
  </si>
  <si>
    <t xml:space="preserve">PLANNED PREVENTIVE MAINTENANCE PROGRAMME</t>
  </si>
  <si>
    <t xml:space="preserve">Scheduled HVAC Maintenance — Contract Document</t>
  </si>
  <si>
    <t xml:space="preserve">  📋  CONTRACT &amp; PROGRAMME INFORMATION</t>
  </si>
  <si>
    <t xml:space="preserve">PPM Contract #:</t>
  </si>
  <si>
    <t xml:space="preserve">Contract Start Date:</t>
  </si>
  <si>
    <t xml:space="preserve">Contract Title:</t>
  </si>
  <si>
    <t xml:space="preserve">Contract End Date:</t>
  </si>
  <si>
    <t xml:space="preserve">Contract Type (Full/Partial/Basic):</t>
  </si>
  <si>
    <t xml:space="preserve">Review / Renewal Date:</t>
  </si>
  <si>
    <t xml:space="preserve">Contract Value (Annual):</t>
  </si>
  <si>
    <t xml:space="preserve">Programme Issue Date:</t>
  </si>
  <si>
    <t xml:space="preserve">Client / Building Owner:</t>
  </si>
  <si>
    <t xml:space="preserve">Programme Revision #:</t>
  </si>
  <si>
    <t xml:space="preserve">Client Contact Name:</t>
  </si>
  <si>
    <t xml:space="preserve">Prepared By:</t>
  </si>
  <si>
    <t xml:space="preserve">Client Phone / Email:</t>
  </si>
  <si>
    <t xml:space="preserve">Authorised By:</t>
  </si>
  <si>
    <t xml:space="preserve">  🏢  SITE &amp; FACILITY INFORMATION</t>
  </si>
  <si>
    <t xml:space="preserve">Site / Facility Name:</t>
  </si>
  <si>
    <t xml:space="preserve">Site Reference Code:</t>
  </si>
  <si>
    <t xml:space="preserve">Site Address — Line 1:</t>
  </si>
  <si>
    <t xml:space="preserve">City / State / Zip:</t>
  </si>
  <si>
    <t xml:space="preserve">Building Type / Use:</t>
  </si>
  <si>
    <t xml:space="preserve">Total Gross Area (sq ft):</t>
  </si>
  <si>
    <t xml:space="preserve">Number of Floors:</t>
  </si>
  <si>
    <t xml:space="preserve">Year Built:</t>
  </si>
  <si>
    <t xml:space="preserve">Number of HVAC Systems:</t>
  </si>
  <si>
    <t xml:space="preserve">BMS / BAS System Type:</t>
  </si>
  <si>
    <t xml:space="preserve">Site Access Contact:</t>
  </si>
  <si>
    <t xml:space="preserve">Emergency Contact:</t>
  </si>
  <si>
    <t xml:space="preserve">Key Safe / Access Code Location:</t>
  </si>
  <si>
    <t xml:space="preserve">On-Site Safety Induction Required:</t>
  </si>
  <si>
    <t xml:space="preserve">  📅  PPM FREQUENCY LEGEND &amp; SCOPE SUMMARY</t>
  </si>
  <si>
    <t xml:space="preserve">  W = Weekly   FM = Fortnightly   M = Monthly   Q = Quarterly   SA = Semi-Annual   A = Annual   BI = Biennial   C = Condition-Based</t>
  </si>
  <si>
    <t xml:space="preserve">Equipment Category</t>
  </si>
  <si>
    <t xml:space="preserve">Asset Count</t>
  </si>
  <si>
    <t xml:space="preserve">W</t>
  </si>
  <si>
    <t xml:space="preserve">FM</t>
  </si>
  <si>
    <t xml:space="preserve">M</t>
  </si>
  <si>
    <t xml:space="preserve">Q</t>
  </si>
  <si>
    <t xml:space="preserve">SA</t>
  </si>
  <si>
    <t xml:space="preserve">A</t>
  </si>
  <si>
    <t xml:space="preserve">BI</t>
  </si>
  <si>
    <t xml:space="preserve">C</t>
  </si>
  <si>
    <t xml:space="preserve">SLA Response</t>
  </si>
  <si>
    <t xml:space="preserve">Included in Contract</t>
  </si>
  <si>
    <t xml:space="preserve">Air Handling Units (AHU)</t>
  </si>
  <si>
    <t xml:space="preserve">✓</t>
  </si>
  <si>
    <t xml:space="preserve">4 hrs</t>
  </si>
  <si>
    <t xml:space="preserve">Yes</t>
  </si>
  <si>
    <t xml:space="preserve">Rooftop Units (RTU)</t>
  </si>
  <si>
    <t xml:space="preserve">Fan Coil Units (FCU)</t>
  </si>
  <si>
    <t xml:space="preserve">8 hrs</t>
  </si>
  <si>
    <t xml:space="preserve">Split / DX Systems</t>
  </si>
  <si>
    <t xml:space="preserve">Chillers</t>
  </si>
  <si>
    <t xml:space="preserve">2 hrs</t>
  </si>
  <si>
    <t xml:space="preserve">Cooling Towers</t>
  </si>
  <si>
    <t xml:space="preserve">Boilers / Hot Water</t>
  </si>
  <si>
    <t xml:space="preserve">Pumps (HVAC)</t>
  </si>
  <si>
    <t xml:space="preserve">Exhaust / Ventilation Fans</t>
  </si>
  <si>
    <t xml:space="preserve">BMS / Controls</t>
  </si>
  <si>
    <t xml:space="preserve">Ductwork &amp; Dampers</t>
  </si>
  <si>
    <t xml:space="preserve">Refrigerant Systems</t>
  </si>
  <si>
    <t xml:space="preserve">  ✍️  AUTHORISATION &amp; SIGN-OFF</t>
  </si>
  <si>
    <t xml:space="preserve">Service Provider Representative:</t>
  </si>
  <si>
    <t xml:space="preserve">Signature:</t>
  </si>
  <si>
    <t xml:space="preserve">Date:</t>
  </si>
  <si>
    <t xml:space="preserve">Contract Manager:</t>
  </si>
  <si>
    <t xml:space="preserve">Your HVAC Co.  •  Rogers, AR  •  (479) 555-0100  •  www.yourhvacco.com</t>
  </si>
  <si>
    <t xml:space="preserve">  🗂️  HVAC ASSET REGISTER — EQUIPMENT INVENTORY</t>
  </si>
  <si>
    <t xml:space="preserve">Asset ID</t>
  </si>
  <si>
    <t xml:space="preserve">Asset Description</t>
  </si>
  <si>
    <t xml:space="preserve">Location / Zone</t>
  </si>
  <si>
    <t xml:space="preserve">Manufacturer</t>
  </si>
  <si>
    <t xml:space="preserve">Model Number</t>
  </si>
  <si>
    <t xml:space="preserve">Serial Number</t>
  </si>
  <si>
    <t xml:space="preserve">Install Year</t>
  </si>
  <si>
    <t xml:space="preserve">Rated Capacity</t>
  </si>
  <si>
    <t xml:space="preserve">PPM Frequency</t>
  </si>
  <si>
    <t xml:space="preserve">Last Service</t>
  </si>
  <si>
    <t xml:space="preserve">Next Due</t>
  </si>
  <si>
    <t xml:space="preserve">Condition</t>
  </si>
  <si>
    <t xml:space="preserve">Warranty Exp.</t>
  </si>
  <si>
    <t xml:space="preserve">Notes</t>
  </si>
  <si>
    <t xml:space="preserve">HVAC-001</t>
  </si>
  <si>
    <t xml:space="preserve">HVAC-002</t>
  </si>
  <si>
    <t xml:space="preserve">HVAC-003</t>
  </si>
  <si>
    <t xml:space="preserve">HVAC-004</t>
  </si>
  <si>
    <t xml:space="preserve">HVAC-005</t>
  </si>
  <si>
    <t xml:space="preserve">HVAC-006</t>
  </si>
  <si>
    <t xml:space="preserve">HVAC-007</t>
  </si>
  <si>
    <t xml:space="preserve">HVAC-008</t>
  </si>
  <si>
    <t xml:space="preserve">HVAC-009</t>
  </si>
  <si>
    <t xml:space="preserve">HVAC-010</t>
  </si>
  <si>
    <t xml:space="preserve">HVAC-011</t>
  </si>
  <si>
    <t xml:space="preserve">HVAC-012</t>
  </si>
  <si>
    <t xml:space="preserve">HVAC-013</t>
  </si>
  <si>
    <t xml:space="preserve">HVAC-014</t>
  </si>
  <si>
    <t xml:space="preserve">HVAC-015</t>
  </si>
  <si>
    <t xml:space="preserve">HVAC-016</t>
  </si>
  <si>
    <t xml:space="preserve">HVAC-017</t>
  </si>
  <si>
    <t xml:space="preserve">HVAC-018</t>
  </si>
  <si>
    <t xml:space="preserve">HVAC-019</t>
  </si>
  <si>
    <t xml:space="preserve">HVAC-020</t>
  </si>
  <si>
    <t xml:space="preserve">HVAC-021</t>
  </si>
  <si>
    <t xml:space="preserve">HVAC-022</t>
  </si>
  <si>
    <t xml:space="preserve">HVAC-023</t>
  </si>
  <si>
    <t xml:space="preserve">HVAC-024</t>
  </si>
  <si>
    <t xml:space="preserve">HVAC-025</t>
  </si>
  <si>
    <t xml:space="preserve">HVAC-026</t>
  </si>
  <si>
    <t xml:space="preserve">HVAC-027</t>
  </si>
  <si>
    <t xml:space="preserve">HVAC-028</t>
  </si>
  <si>
    <t xml:space="preserve">HVAC-029</t>
  </si>
  <si>
    <t xml:space="preserve">HVAC-030</t>
  </si>
  <si>
    <t xml:space="preserve">  📊  ASSET SUMMARY</t>
  </si>
  <si>
    <t xml:space="preserve">Total Assets on Register:</t>
  </si>
  <si>
    <t xml:space="preserve">Assets Requiring Immediate Attention:</t>
  </si>
  <si>
    <t xml:space="preserve">Assets Under Warranty:</t>
  </si>
  <si>
    <t xml:space="preserve">Assets Overdue for Service:</t>
  </si>
  <si>
    <t xml:space="preserve">  🗓️  ANNUAL PPM PLANNER — VISIT &amp; TASK SCHEDULE</t>
  </si>
  <si>
    <t xml:space="preserve">Asset / Task Description</t>
  </si>
  <si>
    <t xml:space="preserve">Freq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</si>
  <si>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</si>
  <si>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</si>
  <si>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</si>
  <si>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</si>
  <si>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</si>
  <si>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</si>
  <si>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</si>
  <si>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</si>
  <si>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</si>
  <si>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</si>
  <si>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</si>
  <si>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</si>
  <si>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 Visits</t>
  </si>
  <si>
    <t xml:space="preserve">Status</t>
  </si>
  <si>
    <t xml:space="preserve">  LEGEND:  P = Planned   C = Completed   X = Missed / Overdue   NA = Not Applicable   ◑ = Part Complete</t>
  </si>
  <si>
    <t xml:space="preserve">AHU-01 — Full Service (Filters, Belts, Coils)</t>
  </si>
  <si>
    <t xml:space="preserve">P</t>
  </si>
  <si>
    <t xml:space="preserve">AHU-01 — Filter Inspection</t>
  </si>
  <si>
    <t xml:space="preserve">AHU-02 — Full Service</t>
  </si>
  <si>
    <t xml:space="preserve">AHU-02 — Filter Inspection</t>
  </si>
  <si>
    <t xml:space="preserve">RTU-01 — Full Service (Coils, DX, Electrics)</t>
  </si>
  <si>
    <t xml:space="preserve">RTU-01 — Filter &amp; Belt Check</t>
  </si>
  <si>
    <t xml:space="preserve">RTU-02 — Full Service</t>
  </si>
  <si>
    <t xml:space="preserve">RTU-02 — Filter &amp; Belt Check</t>
  </si>
  <si>
    <t xml:space="preserve">FCU Schedule — All Units (Filter Clean)</t>
  </si>
  <si>
    <t xml:space="preserve">FCU Schedule — Coil &amp; Valve Service</t>
  </si>
  <si>
    <t xml:space="preserve">Chiller-01 — Full Annual Service</t>
  </si>
  <si>
    <t xml:space="preserve">Chiller-01 — Monthly Condition Check</t>
  </si>
  <si>
    <t xml:space="preserve">Cooling Tower — Water Treatment Check</t>
  </si>
  <si>
    <t xml:space="preserve">Cooling Tower — Full Annual Clean</t>
  </si>
  <si>
    <t xml:space="preserve">Boiler-01 — Full Annual Service + Gas Safe</t>
  </si>
  <si>
    <t xml:space="preserve">Boiler-01 — Monthly Checks</t>
  </si>
  <si>
    <t xml:space="preserve">HVAC Pump Schedule — All Pumps</t>
  </si>
  <si>
    <t xml:space="preserve">Exhaust Fan Schedule — All Fans</t>
  </si>
  <si>
    <t xml:space="preserve">BMS Annual Calibration &amp; Trend Review</t>
  </si>
  <si>
    <t xml:space="preserve">BMS Quarterly Point Check</t>
  </si>
  <si>
    <t xml:space="preserve">Refrigerant Leak Check — All DX Systems</t>
  </si>
  <si>
    <t xml:space="preserve">Damper &amp; Fire Damper Annual Test</t>
  </si>
  <si>
    <t xml:space="preserve">Emergency Lighting &amp; Controls Test</t>
  </si>
  <si>
    <t xml:space="preserve">Ductwork Inspection (Accessible Sections)</t>
  </si>
  <si>
    <t xml:space="preserve">  📊  ANNUAL PLANNER SUMMARY</t>
  </si>
  <si>
    <t xml:space="preserve">Total Planned Visits:</t>
  </si>
  <si>
    <t xml:space="preserve">Total Completed:</t>
  </si>
  <si>
    <t xml:space="preserve">Completion Rate (%):</t>
  </si>
  <si>
    <t xml:space="preserve">  📆  MONTHLY PPM VISIT RECORD — ATTENDANCE &amp; TASK LOG</t>
  </si>
  <si>
    <t xml:space="preserve">Asset / Task</t>
  </si>
  <si>
    <t xml:space="preserve">Visit Month</t>
  </si>
  <si>
    <t xml:space="preserve">Sched. Date</t>
  </si>
  <si>
    <t xml:space="preserve">Actual Date</t>
  </si>
  <si>
    <t xml:space="preserve">Technician</t>
  </si>
  <si>
    <t xml:space="preserve">Time On</t>
  </si>
  <si>
    <t xml:space="preserve">Time Off</t>
  </si>
  <si>
    <t xml:space="preserve">Duration (hrs)</t>
  </si>
  <si>
    <t xml:space="preserve">Tasks Completed</t>
  </si>
  <si>
    <t xml:space="preserve">Defects Found</t>
  </si>
  <si>
    <t xml:space="preserve">Parts Used</t>
  </si>
  <si>
    <t xml:space="preserve">Visit Status</t>
  </si>
  <si>
    <t xml:space="preserve">  📊  VISIT SUMMARY</t>
  </si>
  <si>
    <t xml:space="preserve">Total Visits This Month:</t>
  </si>
  <si>
    <t xml:space="preserve">Visits Completed:</t>
  </si>
  <si>
    <t xml:space="preserve">Visits Missed / Overdue:</t>
  </si>
  <si>
    <t xml:space="preserve">Defects Raised:</t>
  </si>
  <si>
    <t xml:space="preserve">Total Hours on Site:</t>
  </si>
  <si>
    <t xml:space="preserve">  🏭  AIR HANDLING UNIT (AHU) — PLANNED PREVENTIVE MAINTENANCE</t>
  </si>
  <si>
    <t xml:space="preserve">Asset ID / Tag:</t>
  </si>
  <si>
    <t xml:space="preserve">Visit Date:</t>
  </si>
  <si>
    <t xml:space="preserve">PPM Ref #:</t>
  </si>
  <si>
    <t xml:space="preserve">AHU Location:</t>
  </si>
  <si>
    <t xml:space="preserve">Technician Name:</t>
  </si>
  <si>
    <t xml:space="preserve">Work Order #:</t>
  </si>
  <si>
    <t xml:space="preserve">Service Frequency:</t>
  </si>
  <si>
    <t xml:space="preserve">Time On / Off:</t>
  </si>
  <si>
    <t xml:space="preserve">Next PPM Due:</t>
  </si>
  <si>
    <t xml:space="preserve">PPM Task Item</t>
  </si>
  <si>
    <t xml:space="preserve">Pass</t>
  </si>
  <si>
    <t xml:space="preserve">Fail</t>
  </si>
  <si>
    <t xml:space="preserve">N/A</t>
  </si>
  <si>
    <t xml:space="preserve">Measurement / Reading</t>
  </si>
  <si>
    <t xml:space="preserve">Notes / Action</t>
  </si>
  <si>
    <t xml:space="preserve">  ▶  FILTERS</t>
  </si>
  <si>
    <t xml:space="preserve">   Record filter differential pressure — as found (in. wg)</t>
  </si>
  <si>
    <t xml:space="preserve">☐</t>
  </si>
  <si>
    <t xml:space="preserve">   Inspect filter condition: loading, bypass, damage</t>
  </si>
  <si>
    <t xml:space="preserve">   Replace primary filters — record type, MERV, qty</t>
  </si>
  <si>
    <t xml:space="preserve">   Replace secondary / final filters (if applicable)</t>
  </si>
  <si>
    <t xml:space="preserve">   Clean filter housing and rack — remove debris</t>
  </si>
  <si>
    <t xml:space="preserve">   Record filter DP after replacement (in. wg)</t>
  </si>
  <si>
    <t xml:space="preserve">   Record filter media: P/N, MERV rating, qty installed</t>
  </si>
  <si>
    <t xml:space="preserve">  ▶  SUPPLY FAN &amp; MOTOR</t>
  </si>
  <si>
    <t xml:space="preserve">   Inspect fan wheel / blades — clean, balanced, no damage</t>
  </si>
  <si>
    <t xml:space="preserve">   Check fan shaft bearings: noise, vibration, temperature</t>
  </si>
  <si>
    <t xml:space="preserve">   Lubricate fan shaft bearings (non-sealed type)</t>
  </si>
  <si>
    <t xml:space="preserve">   Measure and record motor amps — all 3 phases (A)</t>
  </si>
  <si>
    <t xml:space="preserve">   Measure and record motor voltage — all 3 phases (V)</t>
  </si>
  <si>
    <t xml:space="preserve">   Check motor mounting — tighten bolts if required</t>
  </si>
  <si>
    <t xml:space="preserve">   Check VFD operation, fault log, and speed reference (if fitted)</t>
  </si>
  <si>
    <t xml:space="preserve">   Verify fan rotation direction is correct</t>
  </si>
  <si>
    <t xml:space="preserve">   Record fan RPM (design vs measured)</t>
  </si>
  <si>
    <t xml:space="preserve">  ▶  DRIVE BELTS &amp; SHEAVES</t>
  </si>
  <si>
    <t xml:space="preserve">   Inspect belts — cracking, glazing, fraying, correct tension</t>
  </si>
  <si>
    <t xml:space="preserve">   Measure and adjust belt tension to manufacturer spec</t>
  </si>
  <si>
    <t xml:space="preserve">   Check belt alignment — realign sheaves if required</t>
  </si>
  <si>
    <t xml:space="preserve">   Inspect sheaves — no cracks, worn grooves, or damage</t>
  </si>
  <si>
    <t xml:space="preserve">   Replace belts if worn (record belt size &amp; qty)</t>
  </si>
  <si>
    <t xml:space="preserve">   Record sheave sizes (motor and fan)</t>
  </si>
  <si>
    <t xml:space="preserve">  ▶  HEATING &amp; COOLING COILS</t>
  </si>
  <si>
    <t xml:space="preserve">   Inspect coil fin condition — fouling, damage, frost</t>
  </si>
  <si>
    <t xml:space="preserve">   Clean coil fins if fouling &gt;10% — document method</t>
  </si>
  <si>
    <t xml:space="preserve">   Check coil connections — no refrigerant or water leaks</t>
  </si>
  <si>
    <t xml:space="preserve">   Measure entering air DB temperature (°F)</t>
  </si>
  <si>
    <t xml:space="preserve">   Measure leaving air DB temperature (°F)</t>
  </si>
  <si>
    <t xml:space="preserve">   Measure entering air WB temperature (°F — cooling only)</t>
  </si>
  <si>
    <t xml:space="preserve">   Measure leaving air WB temperature (°F — cooling only)</t>
  </si>
  <si>
    <t xml:space="preserve">   Record coil static pressure drop (in. wg)</t>
  </si>
  <si>
    <t xml:space="preserve">  ▶  DRAIN PAN &amp; CONDENSATE</t>
  </si>
  <si>
    <t xml:space="preserve">   Inspect and clean drain pan — no standing water or algae</t>
  </si>
  <si>
    <t xml:space="preserve">   Flush and test condensate drain — confirm free drainage</t>
  </si>
  <si>
    <t xml:space="preserve">   Prime condensate trap and inspect condition</t>
  </si>
  <si>
    <t xml:space="preserve">   Test condensate pump and float switch (if installed)</t>
  </si>
  <si>
    <t xml:space="preserve">   Check drain pan insulation and vapour barrier integrity</t>
  </si>
  <si>
    <t xml:space="preserve">  ▶  DAMPERS, ACTUATORS &amp; CONTROLS</t>
  </si>
  <si>
    <t xml:space="preserve">   Inspect and operate OSA damper through full range</t>
  </si>
  <si>
    <t xml:space="preserve">   Inspect and operate return air damper and blade seals</t>
  </si>
  <si>
    <t xml:space="preserve">   Test economiser / mixed air damper sequence</t>
  </si>
  <si>
    <t xml:space="preserve">   Calibrate damper actuators — verify position feedback</t>
  </si>
  <si>
    <t xml:space="preserve">   Verify thermostat / controller setpoints — document</t>
  </si>
  <si>
    <t xml:space="preserve">   Test smoke detector and fire/smoke damper (if equipped)</t>
  </si>
  <si>
    <t xml:space="preserve">   Check BAS / DDC points — calibrate if out of tolerance</t>
  </si>
  <si>
    <t xml:space="preserve">   Test unit enable / disable via BMS</t>
  </si>
  <si>
    <t xml:space="preserve">  ▶  CABINET, CASING &amp; GENERAL</t>
  </si>
  <si>
    <t xml:space="preserve">   Inspect unit cabinet — corrosion, loose panels, seal condition</t>
  </si>
  <si>
    <t xml:space="preserve">   Check and replace access door gaskets if deteriorated</t>
  </si>
  <si>
    <t xml:space="preserve">   Clean unit interior — remove dust, debris, foreign objects</t>
  </si>
  <si>
    <t xml:space="preserve">   Inspect flexible duct connections — no tears or splits</t>
  </si>
  <si>
    <t xml:space="preserve">   Check vibration isolators — springs floating, no hard contact</t>
  </si>
  <si>
    <t xml:space="preserve">   Inspect insulation inside AHU casing — no delamination</t>
  </si>
  <si>
    <t xml:space="preserve">   Confirm unit labelling / asset tag is legible</t>
  </si>
  <si>
    <t xml:space="preserve">   Check all access panel fasteners secure</t>
  </si>
  <si>
    <t xml:space="preserve">  ✍️  ENGINEER SIGN-OFF</t>
  </si>
  <si>
    <t xml:space="preserve">Engineer Name:</t>
  </si>
  <si>
    <t xml:space="preserve">Signature &amp; Date:</t>
  </si>
  <si>
    <t xml:space="preserve">Supervisor Sign-Off:</t>
  </si>
  <si>
    <t xml:space="preserve">Customer Acceptance:</t>
  </si>
  <si>
    <t xml:space="preserve">  🌬️  ROOFTOP UNIT (RTU) — PLANNED PREVENTIVE MAINTENANCE</t>
  </si>
  <si>
    <t xml:space="preserve">RTU Location:</t>
  </si>
  <si>
    <t xml:space="preserve">Service Type (Q/SA/A):</t>
  </si>
  <si>
    <t xml:space="preserve">  ▶  CABINET &amp; UNIT EXTERIOR</t>
  </si>
  <si>
    <t xml:space="preserve">   Inspect cabinet — corrosion, damage, missing panels</t>
  </si>
  <si>
    <t xml:space="preserve">   Inspect roof curb, flashing, and weather seals</t>
  </si>
  <si>
    <t xml:space="preserve">   Check all access panels — hinges, latches, gaskets</t>
  </si>
  <si>
    <t xml:space="preserve">   Clean unit exterior and clear debris from roof curb</t>
  </si>
  <si>
    <t xml:space="preserve">   Verify unit levelness — check vibration isolators</t>
  </si>
  <si>
    <t xml:space="preserve">   Inspect base frame / structural members — no corrosion</t>
  </si>
  <si>
    <t xml:space="preserve">   Record as-found filter differential pressure (in. wg)</t>
  </si>
  <si>
    <t xml:space="preserve">   Replace filters — record MERV rating, size, qty</t>
  </si>
  <si>
    <t xml:space="preserve">   Verify filter rack seal — no air bypass around frame</t>
  </si>
  <si>
    <t xml:space="preserve">  ▶  SUPPLY FAN</t>
  </si>
  <si>
    <t xml:space="preserve">   Inspect fan wheel — clean, no damage or imbalance</t>
  </si>
  <si>
    <t xml:space="preserve">   Check bearings — lubricate if non-sealed type</t>
  </si>
  <si>
    <t xml:space="preserve">   Measure motor amps all 3 phases — record vs FLA</t>
  </si>
  <si>
    <t xml:space="preserve">   Measure motor voltage all 3 phases</t>
  </si>
  <si>
    <t xml:space="preserve">   Inspect and adjust belt / sheave drive (if fitted)</t>
  </si>
  <si>
    <t xml:space="preserve">   Check VFD fault log and parameters (if installed)</t>
  </si>
  <si>
    <t xml:space="preserve">  ▶  DX COOLING SYSTEM</t>
  </si>
  <si>
    <t xml:space="preserve">   Record suction pressure (PSIG)</t>
  </si>
  <si>
    <t xml:space="preserve">   Record discharge pressure (PSIG)</t>
  </si>
  <si>
    <t xml:space="preserve">   Calculate and record superheat (°F) — target 8–12°F</t>
  </si>
  <si>
    <t xml:space="preserve">   Calculate and record subcooling (°F) — target 10–15°F</t>
  </si>
  <si>
    <t xml:space="preserve">   Check refrigerant charge — no signs of leak</t>
  </si>
  <si>
    <t xml:space="preserve">   Inspect compressor — noise, vibration, heat</t>
  </si>
  <si>
    <t xml:space="preserve">   Measure compressor amps all 3 phases — record vs FLA</t>
  </si>
  <si>
    <t xml:space="preserve">   Check compressor contactor — contacts, coil, overload</t>
  </si>
  <si>
    <t xml:space="preserve">   Inspect condenser coil — clean fins, no damage</t>
  </si>
  <si>
    <t xml:space="preserve">   Clean condenser coil if fouling present</t>
  </si>
  <si>
    <t xml:space="preserve">   Inspect and test condenser fan(s) — amps, rotation</t>
  </si>
  <si>
    <t xml:space="preserve">   Test high and low pressure safeties</t>
  </si>
  <si>
    <t xml:space="preserve">   Check crankcase heater operation (if equipped)</t>
  </si>
  <si>
    <t xml:space="preserve">   Leak-test refrigerant circuit — record result</t>
  </si>
  <si>
    <t xml:space="preserve">  ▶  HEATING SECTION</t>
  </si>
  <si>
    <t xml:space="preserve">   Inspect heat exchanger / burner — cracks, corrosion</t>
  </si>
  <si>
    <t xml:space="preserve">   Test ignition sequence — spark / glow plug / pilot</t>
  </si>
  <si>
    <t xml:space="preserve">   Inspect flue / vent connection — clear, no gaps</t>
  </si>
  <si>
    <t xml:space="preserve">   Measure supply air temperature in heat mode</t>
  </si>
  <si>
    <t xml:space="preserve">   Test limit switch, rollout switch, and high-temp cutout</t>
  </si>
  <si>
    <t xml:space="preserve">   Check gas valve and manifold for leaks — gas-tight test</t>
  </si>
  <si>
    <t xml:space="preserve">   Check electric heat strips — amp draw vs nameplate</t>
  </si>
  <si>
    <t xml:space="preserve">  ▶  CONTROLS &amp; SAFETIES</t>
  </si>
  <si>
    <t xml:space="preserve">   Verify thermostat / BMS setpoints — document as-found</t>
  </si>
  <si>
    <t xml:space="preserve">   Test economiser controls and damper operation</t>
  </si>
  <si>
    <t xml:space="preserve">   Test smoke detector and fire damper (if equipped)</t>
  </si>
  <si>
    <t xml:space="preserve">   Inspect all wiring — no loose terminals or chafed insulation</t>
  </si>
  <si>
    <t xml:space="preserve">   Check contactors and relays — pitting, overheating</t>
  </si>
  <si>
    <t xml:space="preserve">   Test defrost cycle (heat pump units only)</t>
  </si>
  <si>
    <t xml:space="preserve">   Test fan-proved switch and low-limit controls</t>
  </si>
  <si>
    <t xml:space="preserve">   Inspect and clean drain pan</t>
  </si>
  <si>
    <t xml:space="preserve">   Flush condensate drain — confirm free flow</t>
  </si>
  <si>
    <t xml:space="preserve">  🧊  CHILLER — PLANNED PREVENTIVE MAINTENANCE</t>
  </si>
  <si>
    <t xml:space="preserve">Chiller Location:</t>
  </si>
  <si>
    <t xml:space="preserve">Chiller Type (Screw/Scroll/Centrifugal):</t>
  </si>
  <si>
    <t xml:space="preserve">  ▶  GENERAL INSPECTION</t>
  </si>
  <si>
    <t xml:space="preserve">   Inspect unit chassis and casing — corrosion, damage, leaks</t>
  </si>
  <si>
    <t xml:space="preserve">   Check oil level / oil pressure (if applicable)</t>
  </si>
  <si>
    <t xml:space="preserve">   Review chiller fault log and operating hours</t>
  </si>
  <si>
    <t xml:space="preserve">   Inspect electrical panel — clean, no rodent damage</t>
  </si>
  <si>
    <t xml:space="preserve">   Verify unit is operating within design parameters</t>
  </si>
  <si>
    <t xml:space="preserve">  ▶  REFRIGERATION CIRCUIT</t>
  </si>
  <si>
    <t xml:space="preserve">   Calculate and record superheat (°F)</t>
  </si>
  <si>
    <t xml:space="preserve">   Calculate and record subcooling (°F)</t>
  </si>
  <si>
    <t xml:space="preserve">   Record leaving chilled water temp (LCWT) °F</t>
  </si>
  <si>
    <t xml:space="preserve">   Record entering chilled water temp (ECWT) °F</t>
  </si>
  <si>
    <t xml:space="preserve">   Record condenser EWT and LWT (water-cooled) °F</t>
  </si>
  <si>
    <t xml:space="preserve">   Leak-test refrigerant circuit — EPA log entry</t>
  </si>
  <si>
    <t xml:space="preserve">   Check refrigerant charge — top up if required, log qty</t>
  </si>
  <si>
    <t xml:space="preserve">  ▶  COMPRESSOR</t>
  </si>
  <si>
    <t xml:space="preserve">   Inspect compressor — vibration, noise, temperature</t>
  </si>
  <si>
    <t xml:space="preserve">   Measure compressor amps all phases — record vs FLA</t>
  </si>
  <si>
    <t xml:space="preserve">   Check compressor oil — level, colour, contamination</t>
  </si>
  <si>
    <t xml:space="preserve">   Inspect compressor mounting and vibration isolators</t>
  </si>
  <si>
    <t xml:space="preserve">  ▶  EVAPORATOR &amp; CONDENSER</t>
  </si>
  <si>
    <t xml:space="preserve">   Inspect evaporator tubes — fouling, scale (water-cooled)</t>
  </si>
  <si>
    <t xml:space="preserve">   Inspect condenser coil fins (air-cooled) — clean if fouled</t>
  </si>
  <si>
    <t xml:space="preserve">   Check condenser tubes (water-cooled) — scaling</t>
  </si>
  <si>
    <t xml:space="preserve">   Measure evaporator approach temperature (°F)</t>
  </si>
  <si>
    <t xml:space="preserve">   Measure condenser approach temperature (°F)</t>
  </si>
  <si>
    <t xml:space="preserve">  ▶  PUMPS &amp; PIPEWORK</t>
  </si>
  <si>
    <t xml:space="preserve">   Inspect chilled water pump — seal, bearings, amps</t>
  </si>
  <si>
    <t xml:space="preserve">   Record chilled water pump DP (ft or PSI)</t>
  </si>
  <si>
    <t xml:space="preserve">   Inspect condenser water pump (if installed)</t>
  </si>
  <si>
    <t xml:space="preserve">   Check expansion vessel pre-charge pressure</t>
  </si>
  <si>
    <t xml:space="preserve">   Inspect all visible pipework — no leaks or corrosion</t>
  </si>
  <si>
    <t xml:space="preserve">   Check strainer baskets — clean if clogged</t>
  </si>
  <si>
    <t xml:space="preserve">   Test glycol concentration (if applicable) — record %</t>
  </si>
  <si>
    <t xml:space="preserve">   Verify chilled water setpoint and reset schedule</t>
  </si>
  <si>
    <t xml:space="preserve">   Test low flow / freeze protection interlocks</t>
  </si>
  <si>
    <t xml:space="preserve">   Test condenser high-temp cutout (air-cooled)</t>
  </si>
  <si>
    <t xml:space="preserve">   Check BMS integration — trends, alarms, setpoints</t>
  </si>
  <si>
    <t xml:space="preserve">   Calibrate chilled water temp sensors</t>
  </si>
  <si>
    <t xml:space="preserve">  🔥  BOILER / HEATING PLANT — PLANNED PREVENTIVE MAINTENANCE</t>
  </si>
  <si>
    <t xml:space="preserve">Boiler Location:</t>
  </si>
  <si>
    <t xml:space="preserve">Boiler Type (Gas/Oil/Electric):</t>
  </si>
  <si>
    <t xml:space="preserve">Gas Safe / Reg Cert #:</t>
  </si>
  <si>
    <t xml:space="preserve">   Inspect boiler casing — corrosion, damage, leaks</t>
  </si>
  <si>
    <t xml:space="preserve">   Check system operating pressure (bar / PSI)</t>
  </si>
  <si>
    <t xml:space="preserve">   Record boiler flow and return water temperatures (°F)</t>
  </si>
  <si>
    <t xml:space="preserve">   Check boiler fault log and lockout history</t>
  </si>
  <si>
    <t xml:space="preserve">   Inspect all visible pipework — joints, valves, insulation</t>
  </si>
  <si>
    <t xml:space="preserve">  ▶  COMBUSTION &amp; BURNER</t>
  </si>
  <si>
    <t xml:space="preserve">   Inspect burner head — clean, no distortion or corrosion</t>
  </si>
  <si>
    <t xml:space="preserve">   Clean burner head and flame ports</t>
  </si>
  <si>
    <t xml:space="preserve">   Check and clean ignition electrode — set correct gap</t>
  </si>
  <si>
    <t xml:space="preserve">   Check and clean flame sensor / UV cell</t>
  </si>
  <si>
    <t xml:space="preserve">   Test ignition and flame establishment</t>
  </si>
  <si>
    <t xml:space="preserve">   Carry out flue gas analysis — record CO, CO₂, O₂, efficiency</t>
  </si>
  <si>
    <t xml:space="preserve">   Adjust combustion for optimum efficiency</t>
  </si>
  <si>
    <t xml:space="preserve">   Check gas pressure at test point (mbar / in. wg)</t>
  </si>
  <si>
    <t xml:space="preserve">   Inspect gas train — no leaks, solenoid valves operational</t>
  </si>
  <si>
    <t xml:space="preserve">   Perform gas-tight test on all joints and valves</t>
  </si>
  <si>
    <t xml:space="preserve">  ▶  HEAT EXCHANGER &amp; FLUE</t>
  </si>
  <si>
    <t xml:space="preserve">   Inspect heat exchanger — scaling, corrosion, cracking</t>
  </si>
  <si>
    <t xml:space="preserve">   Clean heat exchanger if required</t>
  </si>
  <si>
    <t xml:space="preserve">   Inspect flue / flue liner — no blockage, damage, or gaps</t>
  </si>
  <si>
    <t xml:space="preserve">   Check flue terminal position — clear of obstructions</t>
  </si>
  <si>
    <t xml:space="preserve">   Inspect condensate drain (condensing boilers) — clear</t>
  </si>
  <si>
    <t xml:space="preserve">   Test CO detector (if installed) — record reading</t>
  </si>
  <si>
    <t xml:space="preserve">  ▶  SAFETY DEVICES &amp; CONTROLS</t>
  </si>
  <si>
    <t xml:space="preserve">   Test high-limit thermostat — operation and setpoint</t>
  </si>
  <si>
    <t xml:space="preserve">   Test pressure relief valve — no weeping, correct setpoint</t>
  </si>
  <si>
    <t xml:space="preserve">   Test low-water cutoff (if applicable)</t>
  </si>
  <si>
    <t xml:space="preserve">   Test over-temperature safety cutout</t>
  </si>
  <si>
    <t xml:space="preserve">   Check and test expansion vessel pressure</t>
  </si>
  <si>
    <t xml:space="preserve">   Verify boiler setpoint and sequence control</t>
  </si>
  <si>
    <t xml:space="preserve">   Test frost protection thermostat (if applicable)</t>
  </si>
  <si>
    <t xml:space="preserve">   Check all safety interlocks — document test results</t>
  </si>
  <si>
    <t xml:space="preserve">  ▶  WATER TREATMENT &amp; SYSTEM</t>
  </si>
  <si>
    <t xml:space="preserve">   Check system inhibitor level — top up if required</t>
  </si>
  <si>
    <t xml:space="preserve">   Record system water pH and hardness</t>
  </si>
  <si>
    <t xml:space="preserve">   Check and clean magnetic filter / strainer</t>
  </si>
  <si>
    <t xml:space="preserve">   Check system pressure and top up if low</t>
  </si>
  <si>
    <t xml:space="preserve">   Inspect all circulating pumps — seal, bearings, amps</t>
  </si>
  <si>
    <t xml:space="preserve">   Test pump duty / standby changeover (if installed)</t>
  </si>
  <si>
    <t xml:space="preserve">Gas Safe / Reg. Cert #:</t>
  </si>
  <si>
    <t xml:space="preserve">  🌡️  FAN COIL UNITS &amp; SPLIT SYSTEMS — PLANNED PREVENTIVE MAINTENANCE</t>
  </si>
  <si>
    <t xml:space="preserve">Unit Location:</t>
  </si>
  <si>
    <t xml:space="preserve">Unit Type (FCU / Split / Cassette):</t>
  </si>
  <si>
    <t xml:space="preserve">  ▶  INDOOR / FAN COIL UNIT</t>
  </si>
  <si>
    <t xml:space="preserve">   Inspect unit casing and grille — no damage or corrosion</t>
  </si>
  <si>
    <t xml:space="preserve">   Remove and clean filter — wash or replace as required</t>
  </si>
  <si>
    <t xml:space="preserve">   Clean evaporator coil fins — no fouling or damage</t>
  </si>
  <si>
    <t xml:space="preserve">   Clean fan blower wheel — no dust accumulation</t>
  </si>
  <si>
    <t xml:space="preserve">   Lubricate fan motor bearings (if non-sealed)</t>
  </si>
  <si>
    <t xml:space="preserve">   Measure fan motor amps</t>
  </si>
  <si>
    <t xml:space="preserve">   Inspect drain pan — clean, no algae or blockage</t>
  </si>
  <si>
    <t xml:space="preserve">   Flush and test condensate drain</t>
  </si>
  <si>
    <t xml:space="preserve">   Check drain pan float switch / condensate pump (if fitted)</t>
  </si>
  <si>
    <t xml:space="preserve">   Verify control valve operation — full open/close cycle</t>
  </si>
  <si>
    <t xml:space="preserve">   Inspect pipe connections at unit — no leaks</t>
  </si>
  <si>
    <t xml:space="preserve">   Measure supply air temperature — cooling mode (°F)</t>
  </si>
  <si>
    <t xml:space="preserve">   Measure supply air temperature — heating mode (°F)</t>
  </si>
  <si>
    <t xml:space="preserve">   Measure return air temperature (°F)</t>
  </si>
  <si>
    <t xml:space="preserve">  ▶  OUTDOOR / CONDENSING UNIT</t>
  </si>
  <si>
    <t xml:space="preserve">   Inspect unit casing — no corrosion, damage, debris</t>
  </si>
  <si>
    <t xml:space="preserve">   Clean condenser coil fins — no fouling (wash if required)</t>
  </si>
  <si>
    <t xml:space="preserve">   Inspect and test condenser fan — blade, bearing, amps</t>
  </si>
  <si>
    <t xml:space="preserve">   Check compressor — noise, vibration, temperature</t>
  </si>
  <si>
    <t xml:space="preserve">   Measure compressor amps all phases</t>
  </si>
  <si>
    <t xml:space="preserve">   Leak-test refrigerant circuit</t>
  </si>
  <si>
    <t xml:space="preserve">   Inspect electrical panel — terminals, contactors, wiring</t>
  </si>
  <si>
    <t xml:space="preserve">   Test capacitors (if accessible)</t>
  </si>
  <si>
    <t xml:space="preserve">  ▶  CONTROLS &amp; COMMISSIONING</t>
  </si>
  <si>
    <t xml:space="preserve">   Test remote controller / wall thermostat operation</t>
  </si>
  <si>
    <t xml:space="preserve">   Verify all operating modes: cool, heat, fan, auto, dry</t>
  </si>
  <si>
    <t xml:space="preserve">   Test timer schedules (if applicable)</t>
  </si>
  <si>
    <t xml:space="preserve">   Check BMS / BACnet integration (if applicable)</t>
  </si>
  <si>
    <t xml:space="preserve">   Test remote enable / disable via BMS</t>
  </si>
  <si>
    <t xml:space="preserve">   Record setpoint, mode, and run hours from controller</t>
  </si>
  <si>
    <t xml:space="preserve">  🧪  REFRIGERANT LOG — F-GAS / EPA 608 COMPLIANCE RECORD</t>
  </si>
  <si>
    <t xml:space="preserve">  ⚠️  Statutory Record: All refrigerant additions, recoveries, and leak checks must be recorded per F-Gas Regulation (EU) No 517/2014 / EPA Section 608. Retain for minimum 5 years.</t>
  </si>
  <si>
    <t xml:space="preserve">Date</t>
  </si>
  <si>
    <t xml:space="preserve">Asset ID / Tag</t>
  </si>
  <si>
    <t xml:space="preserve">Refrigerant Type</t>
  </si>
  <si>
    <t xml:space="preserve">System Charge (kg/lbs)</t>
  </si>
  <si>
    <t xml:space="preserve">Leaked (kg/lbs)</t>
  </si>
  <si>
    <t xml:space="preserve">Added (kg/lbs)</t>
  </si>
  <si>
    <t xml:space="preserve">Recovered (kg/lbs)</t>
  </si>
  <si>
    <t xml:space="preserve">Net Change</t>
  </si>
  <si>
    <t xml:space="preserve">Leak Test Result</t>
  </si>
  <si>
    <t xml:space="preserve">Check Frequency Due</t>
  </si>
  <si>
    <t xml:space="preserve">Cert / Licence #</t>
  </si>
  <si>
    <t xml:space="preserve">Engineer Signature</t>
  </si>
  <si>
    <t xml:space="preserve">  📊  REFRIGERANT INVENTORY SUMMARY</t>
  </si>
  <si>
    <t xml:space="preserve">Total Refrigerant Added (all systems):</t>
  </si>
  <si>
    <t xml:space="preserve">Total Refrigerant Recovered:</t>
  </si>
  <si>
    <t xml:space="preserve">Total Leak Events Recorded:</t>
  </si>
  <si>
    <t xml:space="preserve">Systems Requiring Check — Check Frequency Overdue:</t>
  </si>
  <si>
    <t xml:space="preserve">  ⚠️  DEFICIENCY &amp; REMEDIAL WORKS LOG</t>
  </si>
  <si>
    <t xml:space="preserve">#</t>
  </si>
  <si>
    <t xml:space="preserve">Date Found</t>
  </si>
  <si>
    <t xml:space="preserve">Deficiency Description</t>
  </si>
  <si>
    <t xml:space="preserve">Remedial Action Required</t>
  </si>
  <si>
    <t xml:space="preserve">Assigned To</t>
  </si>
  <si>
    <t xml:space="preserve">Priority</t>
  </si>
  <si>
    <t xml:space="preserve">Due Date</t>
  </si>
  <si>
    <t xml:space="preserve">Date Closed</t>
  </si>
  <si>
    <t xml:space="preserve">PPM Ref #</t>
  </si>
  <si>
    <t xml:space="preserve">  📊  DEFICIENCY SUMMARY</t>
  </si>
  <si>
    <t xml:space="preserve">Total Deficiencies Raised:</t>
  </si>
  <si>
    <t xml:space="preserve">Open / In Progress:</t>
  </si>
  <si>
    <t xml:space="preserve">Closed / Resolved:</t>
  </si>
  <si>
    <t xml:space="preserve">Critical Priority:</t>
  </si>
  <si>
    <t xml:space="preserve">High Priority:</t>
  </si>
  <si>
    <t xml:space="preserve">Overdue Items:</t>
  </si>
  <si>
    <t xml:space="preserve">  📈  PPM KPI &amp; PERFORMANCE REPORT — MONTHLY DASHBOARD</t>
  </si>
  <si>
    <t xml:space="preserve">  Reporting Period:          |   Contract:          |   Site:          |   Prepared By:</t>
  </si>
  <si>
    <t xml:space="preserve">  📊  MONTHLY KPI SUMMARY</t>
  </si>
  <si>
    <t xml:space="preserve">KPI Metric</t>
  </si>
  <si>
    <t xml:space="preserve">Target</t>
  </si>
  <si>
    <t xml:space="preserve">PPM Completion Rate (%)</t>
  </si>
  <si>
    <t xml:space="preserve">≥98%</t>
  </si>
  <si>
    <t xml:space="preserve">Reactive Call-Outs (count)</t>
  </si>
  <si>
    <t xml:space="preserve">≤5/month</t>
  </si>
  <si>
    <t xml:space="preserve">First-Time Fix Rate (%)</t>
  </si>
  <si>
    <t xml:space="preserve">≥85%</t>
  </si>
  <si>
    <t xml:space="preserve">Mean Time to Respond (hrs)</t>
  </si>
  <si>
    <t xml:space="preserve">≤4 hrs</t>
  </si>
  <si>
    <t xml:space="preserve">Mean Time to Repair (hrs)</t>
  </si>
  <si>
    <t xml:space="preserve">≤8 hrs</t>
  </si>
  <si>
    <t xml:space="preserve">System Uptime / Availability (%)</t>
  </si>
  <si>
    <t xml:space="preserve">≥99%</t>
  </si>
  <si>
    <t xml:space="preserve">Open Deficiencies — Critical</t>
  </si>
  <si>
    <t xml:space="preserve">0</t>
  </si>
  <si>
    <t xml:space="preserve">Open Deficiencies — High</t>
  </si>
  <si>
    <t xml:space="preserve">≤2</t>
  </si>
  <si>
    <t xml:space="preserve">Open Deficiencies — Total</t>
  </si>
  <si>
    <t xml:space="preserve">≤10</t>
  </si>
  <si>
    <t xml:space="preserve">Customer Satisfaction Score</t>
  </si>
  <si>
    <t xml:space="preserve">≥4.0/5</t>
  </si>
  <si>
    <t xml:space="preserve">Refrigerant Leak Events</t>
  </si>
  <si>
    <t xml:space="preserve">Energy Performance (index)</t>
  </si>
  <si>
    <t xml:space="preserve">Baseline</t>
  </si>
  <si>
    <t xml:space="preserve">Planned vs Actual Visits</t>
  </si>
  <si>
    <t xml:space="preserve">100%</t>
  </si>
  <si>
    <t xml:space="preserve">Parts Cost vs Budget (%)</t>
  </si>
  <si>
    <t xml:space="preserve">≤100%</t>
  </si>
  <si>
    <t xml:space="preserve">  📋  VISIT COMPLIANCE TRACKER</t>
  </si>
  <si>
    <t xml:space="preserve">Month</t>
  </si>
  <si>
    <t xml:space="preserve">Visits Planned</t>
  </si>
  <si>
    <t xml:space="preserve">Visits Completed</t>
  </si>
  <si>
    <t xml:space="preserve">Visits Missed</t>
  </si>
  <si>
    <t xml:space="preserve">Compliance %</t>
  </si>
  <si>
    <t xml:space="preserve">YTD Planned</t>
  </si>
  <si>
    <t xml:space="preserve">YTD Completed</t>
  </si>
  <si>
    <t xml:space="preserve">YTD Compliance %</t>
  </si>
  <si>
    <t xml:space="preserve">ANNUAL TOTALS</t>
  </si>
  <si>
    <t xml:space="preserve">  💰  PARTS, CONSUMABLES &amp; COST TRACKER</t>
  </si>
  <si>
    <t xml:space="preserve">Part / Material Description</t>
  </si>
  <si>
    <t xml:space="preserve">Part Number</t>
  </si>
  <si>
    <t xml:space="preserve">Qty</t>
  </si>
  <si>
    <t xml:space="preserve">Unit ($)</t>
  </si>
  <si>
    <t xml:space="preserve">Total ($)</t>
  </si>
  <si>
    <t xml:space="preserve">Charge Type</t>
  </si>
  <si>
    <t xml:space="preserve">WO #</t>
  </si>
  <si>
    <t xml:space="preserve">TOTALS</t>
  </si>
  <si>
    <t xml:space="preserve">  📊  COST SUMMARY</t>
  </si>
  <si>
    <t xml:space="preserve">Total Parts &amp; Materials Cost:</t>
  </si>
  <si>
    <t xml:space="preserve">PPM Labour Hours (this period):</t>
  </si>
  <si>
    <t xml:space="preserve">PPM Labour Rate ($/hr):</t>
  </si>
  <si>
    <t xml:space="preserve">Total PPM Labour Cost:</t>
  </si>
  <si>
    <t xml:space="preserve">Reactive Callout Costs:</t>
  </si>
  <si>
    <t xml:space="preserve">Total Period Cost:</t>
  </si>
  <si>
    <t xml:space="preserve">Budget (this period):</t>
  </si>
  <si>
    <t xml:space="preserve">Variance vs Budget:</t>
  </si>
  <si>
    <t xml:space="preserve">PLANNED PREVENTIVE MAINTENANCE — PERIOD SUMMARY REPORT</t>
  </si>
  <si>
    <t xml:space="preserve">  📊  PPM COMPLETION SUMMARY — THIS PERIOD</t>
  </si>
  <si>
    <t xml:space="preserve">Scheduled</t>
  </si>
  <si>
    <t xml:space="preserve">Completed</t>
  </si>
  <si>
    <t xml:space="preserve">Missed</t>
  </si>
  <si>
    <t xml:space="preserve">Comp. %</t>
  </si>
  <si>
    <t xml:space="preserve">Open Defects</t>
  </si>
  <si>
    <t xml:space="preserve">Category Status</t>
  </si>
  <si>
    <t xml:space="preserve">Air Handling Units</t>
  </si>
  <si>
    <t xml:space="preserve">Rooftop Units</t>
  </si>
  <si>
    <t xml:space="preserve">Fan Coil Units</t>
  </si>
  <si>
    <t xml:space="preserve">Boilers</t>
  </si>
  <si>
    <t xml:space="preserve">HVAC Pumps</t>
  </si>
  <si>
    <t xml:space="preserve">Exhaust Fans</t>
  </si>
  <si>
    <t xml:space="preserve">Other</t>
  </si>
  <si>
    <t xml:space="preserve">PERIOD TOTALS</t>
  </si>
  <si>
    <t xml:space="preserve">  📝  OVERALL FINDINGS &amp; NARRATIVE</t>
  </si>
  <si>
    <t xml:space="preserve">  ⚠️  OUTSTANDING ITEMS &amp; RECOMMENDATIONS</t>
  </si>
  <si>
    <t xml:space="preserve">  ✍️  CLIENT ACCEPTANCE &amp; SIGN-OFF</t>
  </si>
  <si>
    <t xml:space="preserve">Service Provider Authorised Rep:</t>
  </si>
  <si>
    <t xml:space="preserve">Print Name:</t>
  </si>
  <si>
    <t xml:space="preserve">Cert / Reg #:</t>
  </si>
  <si>
    <t xml:space="preserve">Company:</t>
  </si>
  <si>
    <t xml:space="preserve">Phone:</t>
  </si>
  <si>
    <t xml:space="preserve">Client Building Owner / FM:</t>
  </si>
  <si>
    <t xml:space="preserve">Date Accepted:</t>
  </si>
  <si>
    <t xml:space="preserve">Client Representative:</t>
  </si>
  <si>
    <t xml:space="preserve">Title / Role:</t>
  </si>
  <si>
    <t xml:space="preserve">Comments: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</si>
</sst>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8"/>
      <color rgb="FF1B3A6B"/>
      <name val="Arial"/>
      <family val="0"/>
      <charset val="1"/>
    </font>
    <font>
      <sz val="10"/>
      <color rgb="FF1B3A6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1B3A6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8"/>
      <color rgb="FF555555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8"/>
      <color rgb="FF1B3A6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5"/>
      <color rgb="FF1B3A6B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E07B00"/>
        <bgColor rgb="FFFF9900"/>
      </patternFill>
    </fill>
    <fill>
      <patternFill patternType="solid">
        <fgColor rgb="FFD6E4F0"/>
        <bgColor rgb="FFF4F6F8"/>
      </patternFill>
    </fill>
    <fill>
      <patternFill patternType="solid">
        <fgColor rgb="FFFFFFFF"/>
        <bgColor rgb="FFF4F6F8"/>
      </patternFill>
    </fill>
    <fill>
      <patternFill patternType="solid">
        <fgColor rgb="FF2E6DA4"/>
        <bgColor rgb="FF3366FF"/>
      </patternFill>
    </fill>
    <fill>
      <patternFill patternType="solid">
        <fgColor rgb="FFF4F6F8"/>
        <bgColor rgb="FFFFFFFF"/>
      </patternFill>
    </fill>
    <fill>
      <patternFill patternType="solid">
        <fgColor rgb="FFFFF2CC"/>
        <bgColor rgb="FFF4F6F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4F6F8"/>
      <rgbColor rgb="FF660066"/>
      <rgbColor rgb="FFFF8080"/>
      <rgbColor rgb="FF2E6DA4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07B00"/>
      <rgbColor rgb="FF555555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12" min="4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</row>
    <row r="2" customFormat="false" ht="7.5" hidden="false" customHeight="true" outlineLevel="0" collapsed="false"/>
    <row r="3" customFormat="false" ht="30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15.75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4.5" hidden="false" customHeight="true" outlineLevel="0" collapsed="false"/>
    <row r="6" customFormat="false" ht="21.75" hidden="false" customHeight="true" outlineLevel="0" collapsed="false">
      <c r="A6" s="5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customFormat="false" ht="15" hidden="false" customHeight="true" outlineLevel="0" collapsed="false">
      <c r="A7" s="6" t="s">
        <v>5</v>
      </c>
      <c r="B7" s="6"/>
      <c r="C7" s="6"/>
      <c r="D7" s="6"/>
      <c r="E7" s="6"/>
      <c r="F7" s="7"/>
      <c r="G7" s="6" t="s">
        <v>6</v>
      </c>
      <c r="H7" s="6"/>
      <c r="I7" s="6"/>
      <c r="J7" s="6"/>
      <c r="K7" s="6"/>
      <c r="L7" s="7"/>
    </row>
    <row r="8" customFormat="false" ht="15" hidden="false" customHeight="true" outlineLevel="0" collapsed="false">
      <c r="A8" s="6" t="s">
        <v>7</v>
      </c>
      <c r="B8" s="6"/>
      <c r="C8" s="6"/>
      <c r="D8" s="6"/>
      <c r="E8" s="6"/>
      <c r="F8" s="7"/>
      <c r="G8" s="6" t="s">
        <v>8</v>
      </c>
      <c r="H8" s="6"/>
      <c r="I8" s="6"/>
      <c r="J8" s="6"/>
      <c r="K8" s="6"/>
      <c r="L8" s="7"/>
    </row>
    <row r="9" customFormat="false" ht="15" hidden="false" customHeight="true" outlineLevel="0" collapsed="false">
      <c r="A9" s="6" t="s">
        <v>9</v>
      </c>
      <c r="B9" s="6"/>
      <c r="C9" s="6"/>
      <c r="D9" s="6"/>
      <c r="E9" s="6"/>
      <c r="F9" s="7"/>
      <c r="G9" s="6" t="s">
        <v>10</v>
      </c>
      <c r="H9" s="6"/>
      <c r="I9" s="6"/>
      <c r="J9" s="6"/>
      <c r="K9" s="6"/>
      <c r="L9" s="7"/>
    </row>
    <row r="10" customFormat="false" ht="15" hidden="false" customHeight="true" outlineLevel="0" collapsed="false">
      <c r="A10" s="6" t="s">
        <v>11</v>
      </c>
      <c r="B10" s="6"/>
      <c r="C10" s="6"/>
      <c r="D10" s="6"/>
      <c r="E10" s="6"/>
      <c r="F10" s="7"/>
      <c r="G10" s="6" t="s">
        <v>12</v>
      </c>
      <c r="H10" s="6"/>
      <c r="I10" s="6"/>
      <c r="J10" s="6"/>
      <c r="K10" s="6"/>
      <c r="L10" s="7"/>
    </row>
    <row r="11" customFormat="false" ht="15" hidden="false" customHeight="true" outlineLevel="0" collapsed="false">
      <c r="A11" s="6" t="s">
        <v>13</v>
      </c>
      <c r="B11" s="6"/>
      <c r="C11" s="6"/>
      <c r="D11" s="6"/>
      <c r="E11" s="6"/>
      <c r="F11" s="7"/>
      <c r="G11" s="6" t="s">
        <v>14</v>
      </c>
      <c r="H11" s="6"/>
      <c r="I11" s="6"/>
      <c r="J11" s="6"/>
      <c r="K11" s="6"/>
      <c r="L11" s="7"/>
    </row>
    <row r="12" customFormat="false" ht="15" hidden="false" customHeight="true" outlineLevel="0" collapsed="false">
      <c r="A12" s="6" t="s">
        <v>15</v>
      </c>
      <c r="B12" s="6"/>
      <c r="C12" s="6"/>
      <c r="D12" s="6"/>
      <c r="E12" s="6"/>
      <c r="F12" s="7"/>
      <c r="G12" s="6" t="s">
        <v>16</v>
      </c>
      <c r="H12" s="6"/>
      <c r="I12" s="6"/>
      <c r="J12" s="6"/>
      <c r="K12" s="6"/>
      <c r="L12" s="7"/>
    </row>
    <row r="13" customFormat="false" ht="15" hidden="false" customHeight="true" outlineLevel="0" collapsed="false">
      <c r="A13" s="6" t="s">
        <v>17</v>
      </c>
      <c r="B13" s="6"/>
      <c r="C13" s="6"/>
      <c r="D13" s="6"/>
      <c r="E13" s="6"/>
      <c r="F13" s="7"/>
      <c r="G13" s="6" t="s">
        <v>18</v>
      </c>
      <c r="H13" s="6"/>
      <c r="I13" s="6"/>
      <c r="J13" s="6"/>
      <c r="K13" s="6"/>
      <c r="L13" s="7"/>
    </row>
    <row r="14" customFormat="false" ht="4.5" hidden="false" customHeight="true" outlineLevel="0" collapsed="false"/>
    <row r="15" customFormat="false" ht="21.75" hidden="false" customHeight="true" outlineLevel="0" collapsed="false">
      <c r="A15" s="5" t="s">
        <v>19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customFormat="false" ht="15" hidden="false" customHeight="true" outlineLevel="0" collapsed="false">
      <c r="A16" s="6" t="s">
        <v>20</v>
      </c>
      <c r="B16" s="6"/>
      <c r="C16" s="6"/>
      <c r="D16" s="6"/>
      <c r="E16" s="6"/>
      <c r="F16" s="7"/>
      <c r="G16" s="6" t="s">
        <v>21</v>
      </c>
      <c r="H16" s="6"/>
      <c r="I16" s="6"/>
      <c r="J16" s="6"/>
      <c r="K16" s="6"/>
      <c r="L16" s="7"/>
    </row>
    <row r="17" customFormat="false" ht="15" hidden="false" customHeight="true" outlineLevel="0" collapsed="false">
      <c r="A17" s="6" t="s">
        <v>22</v>
      </c>
      <c r="B17" s="6"/>
      <c r="C17" s="6"/>
      <c r="D17" s="6"/>
      <c r="E17" s="6"/>
      <c r="F17" s="7"/>
      <c r="G17" s="6" t="s">
        <v>23</v>
      </c>
      <c r="H17" s="6"/>
      <c r="I17" s="6"/>
      <c r="J17" s="6"/>
      <c r="K17" s="6"/>
      <c r="L17" s="7"/>
    </row>
    <row r="18" customFormat="false" ht="15" hidden="false" customHeight="true" outlineLevel="0" collapsed="false">
      <c r="A18" s="6" t="s">
        <v>24</v>
      </c>
      <c r="B18" s="6"/>
      <c r="C18" s="6"/>
      <c r="D18" s="6"/>
      <c r="E18" s="6"/>
      <c r="F18" s="7"/>
      <c r="G18" s="6" t="s">
        <v>25</v>
      </c>
      <c r="H18" s="6"/>
      <c r="I18" s="6"/>
      <c r="J18" s="6"/>
      <c r="K18" s="6"/>
      <c r="L18" s="7"/>
    </row>
    <row r="19" customFormat="false" ht="15" hidden="false" customHeight="true" outlineLevel="0" collapsed="false">
      <c r="A19" s="6" t="s">
        <v>26</v>
      </c>
      <c r="B19" s="6"/>
      <c r="C19" s="6"/>
      <c r="D19" s="6"/>
      <c r="E19" s="6"/>
      <c r="F19" s="7"/>
      <c r="G19" s="6" t="s">
        <v>27</v>
      </c>
      <c r="H19" s="6"/>
      <c r="I19" s="6"/>
      <c r="J19" s="6"/>
      <c r="K19" s="6"/>
      <c r="L19" s="7"/>
    </row>
    <row r="20" customFormat="false" ht="15" hidden="false" customHeight="true" outlineLevel="0" collapsed="false">
      <c r="A20" s="6" t="s">
        <v>28</v>
      </c>
      <c r="B20" s="6"/>
      <c r="C20" s="6"/>
      <c r="D20" s="6"/>
      <c r="E20" s="6"/>
      <c r="F20" s="7"/>
      <c r="G20" s="6" t="s">
        <v>29</v>
      </c>
      <c r="H20" s="6"/>
      <c r="I20" s="6"/>
      <c r="J20" s="6"/>
      <c r="K20" s="6"/>
      <c r="L20" s="7"/>
    </row>
    <row r="21" customFormat="false" ht="15" hidden="false" customHeight="true" outlineLevel="0" collapsed="false">
      <c r="A21" s="6" t="s">
        <v>30</v>
      </c>
      <c r="B21" s="6"/>
      <c r="C21" s="6"/>
      <c r="D21" s="6"/>
      <c r="E21" s="6"/>
      <c r="F21" s="7"/>
      <c r="G21" s="6" t="s">
        <v>31</v>
      </c>
      <c r="H21" s="6"/>
      <c r="I21" s="6"/>
      <c r="J21" s="6"/>
      <c r="K21" s="6"/>
      <c r="L21" s="7"/>
    </row>
    <row r="22" customFormat="false" ht="15" hidden="false" customHeight="true" outlineLevel="0" collapsed="false">
      <c r="A22" s="6" t="s">
        <v>32</v>
      </c>
      <c r="B22" s="6"/>
      <c r="C22" s="6"/>
      <c r="D22" s="6"/>
      <c r="E22" s="6"/>
      <c r="F22" s="7"/>
      <c r="G22" s="6" t="s">
        <v>33</v>
      </c>
      <c r="H22" s="6"/>
      <c r="I22" s="6"/>
      <c r="J22" s="6"/>
      <c r="K22" s="6"/>
      <c r="L22" s="7"/>
    </row>
    <row r="23" customFormat="false" ht="4.5" hidden="false" customHeight="true" outlineLevel="0" collapsed="false"/>
    <row r="24" customFormat="false" ht="21.75" hidden="false" customHeight="true" outlineLevel="0" collapsed="false">
      <c r="A24" s="5" t="s">
        <v>34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customFormat="false" ht="15" hidden="false" customHeight="true" outlineLevel="0" collapsed="false">
      <c r="A25" s="6" t="s">
        <v>35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customFormat="false" ht="18" hidden="false" customHeight="true" outlineLevel="0" collapsed="false">
      <c r="A26" s="8" t="s">
        <v>36</v>
      </c>
      <c r="B26" s="8" t="s">
        <v>37</v>
      </c>
      <c r="C26" s="8" t="s">
        <v>38</v>
      </c>
      <c r="D26" s="8" t="s">
        <v>39</v>
      </c>
      <c r="E26" s="8" t="s">
        <v>40</v>
      </c>
      <c r="F26" s="8" t="s">
        <v>41</v>
      </c>
      <c r="G26" s="8" t="s">
        <v>42</v>
      </c>
      <c r="H26" s="8" t="s">
        <v>43</v>
      </c>
      <c r="I26" s="8" t="s">
        <v>44</v>
      </c>
      <c r="J26" s="8" t="s">
        <v>45</v>
      </c>
      <c r="K26" s="8" t="s">
        <v>46</v>
      </c>
      <c r="L26" s="8" t="s">
        <v>47</v>
      </c>
    </row>
    <row r="27" customFormat="false" ht="15" hidden="false" customHeight="true" outlineLevel="0" collapsed="false">
      <c r="A27" s="9" t="s">
        <v>48</v>
      </c>
      <c r="B27" s="9"/>
      <c r="C27" s="10"/>
      <c r="D27" s="10"/>
      <c r="E27" s="10" t="s">
        <v>49</v>
      </c>
      <c r="F27" s="10" t="s">
        <v>49</v>
      </c>
      <c r="G27" s="10" t="s">
        <v>49</v>
      </c>
      <c r="H27" s="10" t="s">
        <v>49</v>
      </c>
      <c r="I27" s="10"/>
      <c r="J27" s="10"/>
      <c r="K27" s="10" t="s">
        <v>50</v>
      </c>
      <c r="L27" s="10" t="s">
        <v>51</v>
      </c>
    </row>
    <row r="28" customFormat="false" ht="15" hidden="false" customHeight="true" outlineLevel="0" collapsed="false">
      <c r="A28" s="11" t="s">
        <v>52</v>
      </c>
      <c r="B28" s="11"/>
      <c r="C28" s="12"/>
      <c r="D28" s="12"/>
      <c r="E28" s="12" t="s">
        <v>49</v>
      </c>
      <c r="F28" s="12" t="s">
        <v>49</v>
      </c>
      <c r="G28" s="12" t="s">
        <v>49</v>
      </c>
      <c r="H28" s="12" t="s">
        <v>49</v>
      </c>
      <c r="I28" s="12"/>
      <c r="J28" s="12"/>
      <c r="K28" s="12" t="s">
        <v>50</v>
      </c>
      <c r="L28" s="12" t="s">
        <v>51</v>
      </c>
    </row>
    <row r="29" customFormat="false" ht="15" hidden="false" customHeight="true" outlineLevel="0" collapsed="false">
      <c r="A29" s="9" t="s">
        <v>53</v>
      </c>
      <c r="B29" s="9"/>
      <c r="C29" s="10"/>
      <c r="D29" s="10"/>
      <c r="E29" s="10" t="s">
        <v>49</v>
      </c>
      <c r="F29" s="10"/>
      <c r="G29" s="10" t="s">
        <v>49</v>
      </c>
      <c r="H29" s="10" t="s">
        <v>49</v>
      </c>
      <c r="I29" s="10"/>
      <c r="J29" s="10"/>
      <c r="K29" s="10" t="s">
        <v>54</v>
      </c>
      <c r="L29" s="10" t="s">
        <v>51</v>
      </c>
    </row>
    <row r="30" customFormat="false" ht="15" hidden="false" customHeight="true" outlineLevel="0" collapsed="false">
      <c r="A30" s="11" t="s">
        <v>55</v>
      </c>
      <c r="B30" s="11"/>
      <c r="C30" s="12"/>
      <c r="D30" s="12"/>
      <c r="E30" s="12" t="s">
        <v>49</v>
      </c>
      <c r="F30" s="12" t="s">
        <v>49</v>
      </c>
      <c r="G30" s="12" t="s">
        <v>49</v>
      </c>
      <c r="H30" s="12" t="s">
        <v>49</v>
      </c>
      <c r="I30" s="12"/>
      <c r="J30" s="12"/>
      <c r="K30" s="12" t="s">
        <v>50</v>
      </c>
      <c r="L30" s="12" t="s">
        <v>51</v>
      </c>
    </row>
    <row r="31" customFormat="false" ht="15" hidden="false" customHeight="true" outlineLevel="0" collapsed="false">
      <c r="A31" s="9" t="s">
        <v>56</v>
      </c>
      <c r="B31" s="9"/>
      <c r="C31" s="10"/>
      <c r="D31" s="10"/>
      <c r="E31" s="10" t="s">
        <v>49</v>
      </c>
      <c r="F31" s="10" t="s">
        <v>49</v>
      </c>
      <c r="G31" s="10" t="s">
        <v>49</v>
      </c>
      <c r="H31" s="10" t="s">
        <v>49</v>
      </c>
      <c r="I31" s="10" t="s">
        <v>49</v>
      </c>
      <c r="J31" s="10"/>
      <c r="K31" s="10" t="s">
        <v>57</v>
      </c>
      <c r="L31" s="10" t="s">
        <v>51</v>
      </c>
    </row>
    <row r="32" customFormat="false" ht="15" hidden="false" customHeight="true" outlineLevel="0" collapsed="false">
      <c r="A32" s="11" t="s">
        <v>58</v>
      </c>
      <c r="B32" s="11"/>
      <c r="C32" s="12"/>
      <c r="D32" s="12"/>
      <c r="E32" s="12" t="s">
        <v>49</v>
      </c>
      <c r="F32" s="12" t="s">
        <v>49</v>
      </c>
      <c r="G32" s="12" t="s">
        <v>49</v>
      </c>
      <c r="H32" s="12" t="s">
        <v>49</v>
      </c>
      <c r="I32" s="12"/>
      <c r="J32" s="12"/>
      <c r="K32" s="12" t="s">
        <v>50</v>
      </c>
      <c r="L32" s="12" t="s">
        <v>51</v>
      </c>
    </row>
    <row r="33" customFormat="false" ht="15" hidden="false" customHeight="true" outlineLevel="0" collapsed="false">
      <c r="A33" s="9" t="s">
        <v>59</v>
      </c>
      <c r="B33" s="9"/>
      <c r="C33" s="10"/>
      <c r="D33" s="10"/>
      <c r="E33" s="10" t="s">
        <v>49</v>
      </c>
      <c r="F33" s="10" t="s">
        <v>49</v>
      </c>
      <c r="G33" s="10" t="s">
        <v>49</v>
      </c>
      <c r="H33" s="10" t="s">
        <v>49</v>
      </c>
      <c r="I33" s="10"/>
      <c r="J33" s="10"/>
      <c r="K33" s="10" t="s">
        <v>57</v>
      </c>
      <c r="L33" s="10" t="s">
        <v>51</v>
      </c>
    </row>
    <row r="34" customFormat="false" ht="15" hidden="false" customHeight="true" outlineLevel="0" collapsed="false">
      <c r="A34" s="11" t="s">
        <v>60</v>
      </c>
      <c r="B34" s="11"/>
      <c r="C34" s="12"/>
      <c r="D34" s="12"/>
      <c r="E34" s="12"/>
      <c r="F34" s="12" t="s">
        <v>49</v>
      </c>
      <c r="G34" s="12" t="s">
        <v>49</v>
      </c>
      <c r="H34" s="12" t="s">
        <v>49</v>
      </c>
      <c r="I34" s="12"/>
      <c r="J34" s="12"/>
      <c r="K34" s="12" t="s">
        <v>54</v>
      </c>
      <c r="L34" s="12" t="s">
        <v>51</v>
      </c>
    </row>
    <row r="35" customFormat="false" ht="15" hidden="false" customHeight="true" outlineLevel="0" collapsed="false">
      <c r="A35" s="9" t="s">
        <v>61</v>
      </c>
      <c r="B35" s="9"/>
      <c r="C35" s="10"/>
      <c r="D35" s="10"/>
      <c r="E35" s="10"/>
      <c r="F35" s="10" t="s">
        <v>49</v>
      </c>
      <c r="G35" s="10" t="s">
        <v>49</v>
      </c>
      <c r="H35" s="10" t="s">
        <v>49</v>
      </c>
      <c r="I35" s="10"/>
      <c r="J35" s="10"/>
      <c r="K35" s="10" t="s">
        <v>54</v>
      </c>
      <c r="L35" s="10" t="s">
        <v>51</v>
      </c>
    </row>
    <row r="36" customFormat="false" ht="15" hidden="false" customHeight="true" outlineLevel="0" collapsed="false">
      <c r="A36" s="11" t="s">
        <v>62</v>
      </c>
      <c r="B36" s="11"/>
      <c r="C36" s="12"/>
      <c r="D36" s="12"/>
      <c r="E36" s="12"/>
      <c r="F36" s="12" t="s">
        <v>49</v>
      </c>
      <c r="G36" s="12"/>
      <c r="H36" s="12" t="s">
        <v>49</v>
      </c>
      <c r="I36" s="12"/>
      <c r="J36" s="12" t="s">
        <v>49</v>
      </c>
      <c r="K36" s="12" t="s">
        <v>50</v>
      </c>
      <c r="L36" s="12" t="s">
        <v>51</v>
      </c>
    </row>
    <row r="37" customFormat="false" ht="15" hidden="false" customHeight="true" outlineLevel="0" collapsed="false">
      <c r="A37" s="9" t="s">
        <v>63</v>
      </c>
      <c r="B37" s="9"/>
      <c r="C37" s="10"/>
      <c r="D37" s="10"/>
      <c r="E37" s="10"/>
      <c r="F37" s="10"/>
      <c r="G37" s="10" t="s">
        <v>49</v>
      </c>
      <c r="H37" s="10" t="s">
        <v>49</v>
      </c>
      <c r="I37" s="10"/>
      <c r="J37" s="10" t="s">
        <v>49</v>
      </c>
      <c r="K37" s="10" t="s">
        <v>54</v>
      </c>
      <c r="L37" s="10" t="s">
        <v>51</v>
      </c>
    </row>
    <row r="38" customFormat="false" ht="15" hidden="false" customHeight="true" outlineLevel="0" collapsed="false">
      <c r="A38" s="11" t="s">
        <v>64</v>
      </c>
      <c r="B38" s="11"/>
      <c r="C38" s="12"/>
      <c r="D38" s="12"/>
      <c r="E38" s="12"/>
      <c r="F38" s="12" t="s">
        <v>49</v>
      </c>
      <c r="G38" s="12"/>
      <c r="H38" s="12" t="s">
        <v>49</v>
      </c>
      <c r="I38" s="12"/>
      <c r="J38" s="12"/>
      <c r="K38" s="12" t="s">
        <v>50</v>
      </c>
      <c r="L38" s="12" t="s">
        <v>51</v>
      </c>
    </row>
    <row r="39" customFormat="false" ht="4.5" hidden="false" customHeight="true" outlineLevel="0" collapsed="false"/>
    <row r="40" customFormat="false" ht="21.75" hidden="false" customHeight="true" outlineLevel="0" collapsed="false">
      <c r="A40" s="5" t="s">
        <v>65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customFormat="false" ht="19.5" hidden="false" customHeight="true" outlineLevel="0" collapsed="false">
      <c r="A41" s="6" t="s">
        <v>66</v>
      </c>
      <c r="B41" s="6"/>
      <c r="C41" s="6"/>
      <c r="D41" s="6"/>
      <c r="E41" s="6" t="s">
        <v>67</v>
      </c>
      <c r="F41" s="6"/>
      <c r="G41" s="6"/>
      <c r="H41" s="6"/>
      <c r="I41" s="6" t="s">
        <v>68</v>
      </c>
      <c r="J41" s="6"/>
      <c r="K41" s="6"/>
      <c r="L41" s="6"/>
    </row>
    <row r="42" customFormat="false" ht="19.5" hidden="false" customHeight="true" outlineLevel="0" collapsed="false">
      <c r="A42" s="6" t="s">
        <v>13</v>
      </c>
      <c r="B42" s="6"/>
      <c r="C42" s="6"/>
      <c r="D42" s="6"/>
      <c r="E42" s="6" t="s">
        <v>67</v>
      </c>
      <c r="F42" s="6"/>
      <c r="G42" s="6"/>
      <c r="H42" s="6"/>
      <c r="I42" s="6" t="s">
        <v>68</v>
      </c>
      <c r="J42" s="6"/>
      <c r="K42" s="6"/>
      <c r="L42" s="6"/>
    </row>
    <row r="43" customFormat="false" ht="19.5" hidden="false" customHeight="true" outlineLevel="0" collapsed="false">
      <c r="A43" s="6" t="s">
        <v>69</v>
      </c>
      <c r="B43" s="6"/>
      <c r="C43" s="6"/>
      <c r="D43" s="6"/>
      <c r="E43" s="6" t="s">
        <v>67</v>
      </c>
      <c r="F43" s="6"/>
      <c r="G43" s="6"/>
      <c r="H43" s="6"/>
      <c r="I43" s="6" t="s">
        <v>68</v>
      </c>
      <c r="J43" s="6"/>
      <c r="K43" s="6"/>
      <c r="L43" s="6"/>
    </row>
    <row r="44" customFormat="false" ht="4.5" hidden="false" customHeight="true" outlineLevel="0" collapsed="false"/>
    <row r="45" customFormat="false" ht="18" hidden="false" customHeight="true" outlineLevel="0" collapsed="false">
      <c r="A45" s="13" t="s">
        <v>70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</row>
  </sheetData>
  <mergeCells count="47">
    <mergeCell ref="A1:F1"/>
    <mergeCell ref="G1:L1"/>
    <mergeCell ref="A3:L3"/>
    <mergeCell ref="A4:L4"/>
    <mergeCell ref="A6:L6"/>
    <mergeCell ref="A7:E7"/>
    <mergeCell ref="G7:K7"/>
    <mergeCell ref="A8:E8"/>
    <mergeCell ref="G8:K8"/>
    <mergeCell ref="A9:E9"/>
    <mergeCell ref="G9:K9"/>
    <mergeCell ref="A10:E10"/>
    <mergeCell ref="G10:K10"/>
    <mergeCell ref="A11:E11"/>
    <mergeCell ref="G11:K11"/>
    <mergeCell ref="A12:E12"/>
    <mergeCell ref="G12:K12"/>
    <mergeCell ref="A13:E13"/>
    <mergeCell ref="G13:K13"/>
    <mergeCell ref="A15:L15"/>
    <mergeCell ref="A16:E16"/>
    <mergeCell ref="G16:K16"/>
    <mergeCell ref="A17:E17"/>
    <mergeCell ref="G17:K17"/>
    <mergeCell ref="A18:E18"/>
    <mergeCell ref="G18:K18"/>
    <mergeCell ref="A19:E19"/>
    <mergeCell ref="G19:K19"/>
    <mergeCell ref="A20:E20"/>
    <mergeCell ref="G20:K20"/>
    <mergeCell ref="A21:E21"/>
    <mergeCell ref="G21:K21"/>
    <mergeCell ref="A22:E22"/>
    <mergeCell ref="G22:K22"/>
    <mergeCell ref="A24:L24"/>
    <mergeCell ref="A25:L25"/>
    <mergeCell ref="A40:L40"/>
    <mergeCell ref="A41:D41"/>
    <mergeCell ref="E41:H41"/>
    <mergeCell ref="I41:L41"/>
    <mergeCell ref="A42:D42"/>
    <mergeCell ref="E42:H42"/>
    <mergeCell ref="I42:L42"/>
    <mergeCell ref="A43:D43"/>
    <mergeCell ref="E43:H43"/>
    <mergeCell ref="I43:L43"/>
    <mergeCell ref="A45:L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13" min="7" style="0" width="10"/>
    <col collapsed="false" customWidth="true" hidden="false" outlineLevel="0" max="14" min="14" style="0" width="1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</row>
    <row r="2" customFormat="false" ht="21.75" hidden="false" customHeight="true" outlineLevel="0" collapsed="false">
      <c r="A2" s="5" t="s">
        <v>71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customFormat="false" ht="18" hidden="false" customHeight="true" outlineLevel="0" collapsed="false">
      <c r="A3" s="8" t="s">
        <v>72</v>
      </c>
      <c r="B3" s="8" t="s">
        <v>73</v>
      </c>
      <c r="C3" s="8" t="s">
        <v>74</v>
      </c>
      <c r="D3" s="8" t="s">
        <v>75</v>
      </c>
      <c r="E3" s="8" t="s">
        <v>76</v>
      </c>
      <c r="F3" s="8" t="s">
        <v>77</v>
      </c>
      <c r="G3" s="8" t="s">
        <v>78</v>
      </c>
      <c r="H3" s="8" t="s">
        <v>79</v>
      </c>
      <c r="I3" s="8" t="s">
        <v>80</v>
      </c>
      <c r="J3" s="8" t="s">
        <v>81</v>
      </c>
      <c r="K3" s="8" t="s">
        <v>82</v>
      </c>
      <c r="L3" s="8" t="s">
        <v>83</v>
      </c>
      <c r="M3" s="8" t="s">
        <v>84</v>
      </c>
      <c r="N3" s="8" t="s">
        <v>85</v>
      </c>
    </row>
    <row r="4" customFormat="false" ht="15" hidden="false" customHeight="true" outlineLevel="0" collapsed="false">
      <c r="A4" s="10" t="s">
        <v>86</v>
      </c>
      <c r="B4" s="9"/>
      <c r="C4" s="9"/>
      <c r="D4" s="9"/>
      <c r="E4" s="9"/>
      <c r="F4" s="9"/>
      <c r="G4" s="10"/>
      <c r="H4" s="10"/>
      <c r="I4" s="10"/>
      <c r="J4" s="10"/>
      <c r="K4" s="10"/>
      <c r="L4" s="10"/>
      <c r="M4" s="10"/>
      <c r="N4" s="9"/>
    </row>
    <row r="5" customFormat="false" ht="15" hidden="false" customHeight="true" outlineLevel="0" collapsed="false">
      <c r="A5" s="12" t="s">
        <v>87</v>
      </c>
      <c r="B5" s="11"/>
      <c r="C5" s="11"/>
      <c r="D5" s="11"/>
      <c r="E5" s="11"/>
      <c r="F5" s="11"/>
      <c r="G5" s="12"/>
      <c r="H5" s="12"/>
      <c r="I5" s="12"/>
      <c r="J5" s="12"/>
      <c r="K5" s="12"/>
      <c r="L5" s="12"/>
      <c r="M5" s="12"/>
      <c r="N5" s="11"/>
    </row>
    <row r="6" customFormat="false" ht="15" hidden="false" customHeight="true" outlineLevel="0" collapsed="false">
      <c r="A6" s="10" t="s">
        <v>88</v>
      </c>
      <c r="B6" s="9"/>
      <c r="C6" s="9"/>
      <c r="D6" s="9"/>
      <c r="E6" s="9"/>
      <c r="F6" s="9"/>
      <c r="G6" s="10"/>
      <c r="H6" s="10"/>
      <c r="I6" s="10"/>
      <c r="J6" s="10"/>
      <c r="K6" s="10"/>
      <c r="L6" s="10"/>
      <c r="M6" s="10"/>
      <c r="N6" s="9"/>
    </row>
    <row r="7" customFormat="false" ht="15" hidden="false" customHeight="true" outlineLevel="0" collapsed="false">
      <c r="A7" s="12" t="s">
        <v>89</v>
      </c>
      <c r="B7" s="11"/>
      <c r="C7" s="11"/>
      <c r="D7" s="11"/>
      <c r="E7" s="11"/>
      <c r="F7" s="11"/>
      <c r="G7" s="12"/>
      <c r="H7" s="12"/>
      <c r="I7" s="12"/>
      <c r="J7" s="12"/>
      <c r="K7" s="12"/>
      <c r="L7" s="12"/>
      <c r="M7" s="12"/>
      <c r="N7" s="11"/>
    </row>
    <row r="8" customFormat="false" ht="15" hidden="false" customHeight="true" outlineLevel="0" collapsed="false">
      <c r="A8" s="10" t="s">
        <v>90</v>
      </c>
      <c r="B8" s="9"/>
      <c r="C8" s="9"/>
      <c r="D8" s="9"/>
      <c r="E8" s="9"/>
      <c r="F8" s="9"/>
      <c r="G8" s="10"/>
      <c r="H8" s="10"/>
      <c r="I8" s="10"/>
      <c r="J8" s="10"/>
      <c r="K8" s="10"/>
      <c r="L8" s="10"/>
      <c r="M8" s="10"/>
      <c r="N8" s="9"/>
    </row>
    <row r="9" customFormat="false" ht="15" hidden="false" customHeight="true" outlineLevel="0" collapsed="false">
      <c r="A9" s="12" t="s">
        <v>91</v>
      </c>
      <c r="B9" s="11"/>
      <c r="C9" s="11"/>
      <c r="D9" s="11"/>
      <c r="E9" s="11"/>
      <c r="F9" s="11"/>
      <c r="G9" s="12"/>
      <c r="H9" s="12"/>
      <c r="I9" s="12"/>
      <c r="J9" s="12"/>
      <c r="K9" s="12"/>
      <c r="L9" s="12"/>
      <c r="M9" s="12"/>
      <c r="N9" s="11"/>
    </row>
    <row r="10" customFormat="false" ht="15" hidden="false" customHeight="true" outlineLevel="0" collapsed="false">
      <c r="A10" s="10" t="s">
        <v>92</v>
      </c>
      <c r="B10" s="9"/>
      <c r="C10" s="9"/>
      <c r="D10" s="9"/>
      <c r="E10" s="9"/>
      <c r="F10" s="9"/>
      <c r="G10" s="10"/>
      <c r="H10" s="10"/>
      <c r="I10" s="10"/>
      <c r="J10" s="10"/>
      <c r="K10" s="10"/>
      <c r="L10" s="10"/>
      <c r="M10" s="10"/>
      <c r="N10" s="9"/>
    </row>
    <row r="11" customFormat="false" ht="15" hidden="false" customHeight="true" outlineLevel="0" collapsed="false">
      <c r="A11" s="12" t="s">
        <v>93</v>
      </c>
      <c r="B11" s="11"/>
      <c r="C11" s="11"/>
      <c r="D11" s="11"/>
      <c r="E11" s="11"/>
      <c r="F11" s="11"/>
      <c r="G11" s="12"/>
      <c r="H11" s="12"/>
      <c r="I11" s="12"/>
      <c r="J11" s="12"/>
      <c r="K11" s="12"/>
      <c r="L11" s="12"/>
      <c r="M11" s="12"/>
      <c r="N11" s="11"/>
    </row>
    <row r="12" customFormat="false" ht="15" hidden="false" customHeight="true" outlineLevel="0" collapsed="false">
      <c r="A12" s="10" t="s">
        <v>94</v>
      </c>
      <c r="B12" s="9"/>
      <c r="C12" s="9"/>
      <c r="D12" s="9"/>
      <c r="E12" s="9"/>
      <c r="F12" s="9"/>
      <c r="G12" s="10"/>
      <c r="H12" s="10"/>
      <c r="I12" s="10"/>
      <c r="J12" s="10"/>
      <c r="K12" s="10"/>
      <c r="L12" s="10"/>
      <c r="M12" s="10"/>
      <c r="N12" s="9"/>
    </row>
    <row r="13" customFormat="false" ht="15" hidden="false" customHeight="true" outlineLevel="0" collapsed="false">
      <c r="A13" s="12" t="s">
        <v>95</v>
      </c>
      <c r="B13" s="11"/>
      <c r="C13" s="11"/>
      <c r="D13" s="11"/>
      <c r="E13" s="11"/>
      <c r="F13" s="11"/>
      <c r="G13" s="12"/>
      <c r="H13" s="12"/>
      <c r="I13" s="12"/>
      <c r="J13" s="12"/>
      <c r="K13" s="12"/>
      <c r="L13" s="12"/>
      <c r="M13" s="12"/>
      <c r="N13" s="11"/>
    </row>
    <row r="14" customFormat="false" ht="15" hidden="false" customHeight="true" outlineLevel="0" collapsed="false">
      <c r="A14" s="10" t="s">
        <v>96</v>
      </c>
      <c r="B14" s="9"/>
      <c r="C14" s="9"/>
      <c r="D14" s="9"/>
      <c r="E14" s="9"/>
      <c r="F14" s="9"/>
      <c r="G14" s="10"/>
      <c r="H14" s="10"/>
      <c r="I14" s="10"/>
      <c r="J14" s="10"/>
      <c r="K14" s="10"/>
      <c r="L14" s="10"/>
      <c r="M14" s="10"/>
      <c r="N14" s="9"/>
    </row>
    <row r="15" customFormat="false" ht="15" hidden="false" customHeight="true" outlineLevel="0" collapsed="false">
      <c r="A15" s="12" t="s">
        <v>97</v>
      </c>
      <c r="B15" s="11"/>
      <c r="C15" s="11"/>
      <c r="D15" s="11"/>
      <c r="E15" s="11"/>
      <c r="F15" s="11"/>
      <c r="G15" s="12"/>
      <c r="H15" s="12"/>
      <c r="I15" s="12"/>
      <c r="J15" s="12"/>
      <c r="K15" s="12"/>
      <c r="L15" s="12"/>
      <c r="M15" s="12"/>
      <c r="N15" s="11"/>
    </row>
    <row r="16" customFormat="false" ht="15" hidden="false" customHeight="true" outlineLevel="0" collapsed="false">
      <c r="A16" s="10" t="s">
        <v>98</v>
      </c>
      <c r="B16" s="9"/>
      <c r="C16" s="9"/>
      <c r="D16" s="9"/>
      <c r="E16" s="9"/>
      <c r="F16" s="9"/>
      <c r="G16" s="10"/>
      <c r="H16" s="10"/>
      <c r="I16" s="10"/>
      <c r="J16" s="10"/>
      <c r="K16" s="10"/>
      <c r="L16" s="10"/>
      <c r="M16" s="10"/>
      <c r="N16" s="9"/>
    </row>
    <row r="17" customFormat="false" ht="15" hidden="false" customHeight="true" outlineLevel="0" collapsed="false">
      <c r="A17" s="12" t="s">
        <v>99</v>
      </c>
      <c r="B17" s="11"/>
      <c r="C17" s="11"/>
      <c r="D17" s="11"/>
      <c r="E17" s="11"/>
      <c r="F17" s="11"/>
      <c r="G17" s="12"/>
      <c r="H17" s="12"/>
      <c r="I17" s="12"/>
      <c r="J17" s="12"/>
      <c r="K17" s="12"/>
      <c r="L17" s="12"/>
      <c r="M17" s="12"/>
      <c r="N17" s="11"/>
    </row>
    <row r="18" customFormat="false" ht="15" hidden="false" customHeight="true" outlineLevel="0" collapsed="false">
      <c r="A18" s="10" t="s">
        <v>100</v>
      </c>
      <c r="B18" s="9"/>
      <c r="C18" s="9"/>
      <c r="D18" s="9"/>
      <c r="E18" s="9"/>
      <c r="F18" s="9"/>
      <c r="G18" s="10"/>
      <c r="H18" s="10"/>
      <c r="I18" s="10"/>
      <c r="J18" s="10"/>
      <c r="K18" s="10"/>
      <c r="L18" s="10"/>
      <c r="M18" s="10"/>
      <c r="N18" s="9"/>
    </row>
    <row r="19" customFormat="false" ht="15" hidden="false" customHeight="true" outlineLevel="0" collapsed="false">
      <c r="A19" s="12" t="s">
        <v>101</v>
      </c>
      <c r="B19" s="11"/>
      <c r="C19" s="11"/>
      <c r="D19" s="11"/>
      <c r="E19" s="11"/>
      <c r="F19" s="11"/>
      <c r="G19" s="12"/>
      <c r="H19" s="12"/>
      <c r="I19" s="12"/>
      <c r="J19" s="12"/>
      <c r="K19" s="12"/>
      <c r="L19" s="12"/>
      <c r="M19" s="12"/>
      <c r="N19" s="11"/>
    </row>
    <row r="20" customFormat="false" ht="15" hidden="false" customHeight="true" outlineLevel="0" collapsed="false">
      <c r="A20" s="10" t="s">
        <v>102</v>
      </c>
      <c r="B20" s="9"/>
      <c r="C20" s="9"/>
      <c r="D20" s="9"/>
      <c r="E20" s="9"/>
      <c r="F20" s="9"/>
      <c r="G20" s="10"/>
      <c r="H20" s="10"/>
      <c r="I20" s="10"/>
      <c r="J20" s="10"/>
      <c r="K20" s="10"/>
      <c r="L20" s="10"/>
      <c r="M20" s="10"/>
      <c r="N20" s="9"/>
    </row>
    <row r="21" customFormat="false" ht="15" hidden="false" customHeight="true" outlineLevel="0" collapsed="false">
      <c r="A21" s="12" t="s">
        <v>103</v>
      </c>
      <c r="B21" s="11"/>
      <c r="C21" s="11"/>
      <c r="D21" s="11"/>
      <c r="E21" s="11"/>
      <c r="F21" s="11"/>
      <c r="G21" s="12"/>
      <c r="H21" s="12"/>
      <c r="I21" s="12"/>
      <c r="J21" s="12"/>
      <c r="K21" s="12"/>
      <c r="L21" s="12"/>
      <c r="M21" s="12"/>
      <c r="N21" s="11"/>
    </row>
    <row r="22" customFormat="false" ht="15" hidden="false" customHeight="true" outlineLevel="0" collapsed="false">
      <c r="A22" s="10" t="s">
        <v>104</v>
      </c>
      <c r="B22" s="9"/>
      <c r="C22" s="9"/>
      <c r="D22" s="9"/>
      <c r="E22" s="9"/>
      <c r="F22" s="9"/>
      <c r="G22" s="10"/>
      <c r="H22" s="10"/>
      <c r="I22" s="10"/>
      <c r="J22" s="10"/>
      <c r="K22" s="10"/>
      <c r="L22" s="10"/>
      <c r="M22" s="10"/>
      <c r="N22" s="9"/>
    </row>
    <row r="23" customFormat="false" ht="15" hidden="false" customHeight="true" outlineLevel="0" collapsed="false">
      <c r="A23" s="12" t="s">
        <v>105</v>
      </c>
      <c r="B23" s="11"/>
      <c r="C23" s="11"/>
      <c r="D23" s="11"/>
      <c r="E23" s="11"/>
      <c r="F23" s="11"/>
      <c r="G23" s="12"/>
      <c r="H23" s="12"/>
      <c r="I23" s="12"/>
      <c r="J23" s="12"/>
      <c r="K23" s="12"/>
      <c r="L23" s="12"/>
      <c r="M23" s="12"/>
      <c r="N23" s="11"/>
    </row>
    <row r="24" customFormat="false" ht="15" hidden="false" customHeight="true" outlineLevel="0" collapsed="false">
      <c r="A24" s="10" t="s">
        <v>106</v>
      </c>
      <c r="B24" s="9"/>
      <c r="C24" s="9"/>
      <c r="D24" s="9"/>
      <c r="E24" s="9"/>
      <c r="F24" s="9"/>
      <c r="G24" s="10"/>
      <c r="H24" s="10"/>
      <c r="I24" s="10"/>
      <c r="J24" s="10"/>
      <c r="K24" s="10"/>
      <c r="L24" s="10"/>
      <c r="M24" s="10"/>
      <c r="N24" s="9"/>
    </row>
    <row r="25" customFormat="false" ht="15" hidden="false" customHeight="true" outlineLevel="0" collapsed="false">
      <c r="A25" s="12" t="s">
        <v>107</v>
      </c>
      <c r="B25" s="11"/>
      <c r="C25" s="11"/>
      <c r="D25" s="11"/>
      <c r="E25" s="11"/>
      <c r="F25" s="11"/>
      <c r="G25" s="12"/>
      <c r="H25" s="12"/>
      <c r="I25" s="12"/>
      <c r="J25" s="12"/>
      <c r="K25" s="12"/>
      <c r="L25" s="12"/>
      <c r="M25" s="12"/>
      <c r="N25" s="11"/>
    </row>
    <row r="26" customFormat="false" ht="15" hidden="false" customHeight="true" outlineLevel="0" collapsed="false">
      <c r="A26" s="10" t="s">
        <v>108</v>
      </c>
      <c r="B26" s="9"/>
      <c r="C26" s="9"/>
      <c r="D26" s="9"/>
      <c r="E26" s="9"/>
      <c r="F26" s="9"/>
      <c r="G26" s="10"/>
      <c r="H26" s="10"/>
      <c r="I26" s="10"/>
      <c r="J26" s="10"/>
      <c r="K26" s="10"/>
      <c r="L26" s="10"/>
      <c r="M26" s="10"/>
      <c r="N26" s="9"/>
    </row>
    <row r="27" customFormat="false" ht="15" hidden="false" customHeight="true" outlineLevel="0" collapsed="false">
      <c r="A27" s="12" t="s">
        <v>109</v>
      </c>
      <c r="B27" s="11"/>
      <c r="C27" s="11"/>
      <c r="D27" s="11"/>
      <c r="E27" s="11"/>
      <c r="F27" s="11"/>
      <c r="G27" s="12"/>
      <c r="H27" s="12"/>
      <c r="I27" s="12"/>
      <c r="J27" s="12"/>
      <c r="K27" s="12"/>
      <c r="L27" s="12"/>
      <c r="M27" s="12"/>
      <c r="N27" s="11"/>
    </row>
    <row r="28" customFormat="false" ht="15" hidden="false" customHeight="true" outlineLevel="0" collapsed="false">
      <c r="A28" s="10" t="s">
        <v>110</v>
      </c>
      <c r="B28" s="9"/>
      <c r="C28" s="9"/>
      <c r="D28" s="9"/>
      <c r="E28" s="9"/>
      <c r="F28" s="9"/>
      <c r="G28" s="10"/>
      <c r="H28" s="10"/>
      <c r="I28" s="10"/>
      <c r="J28" s="10"/>
      <c r="K28" s="10"/>
      <c r="L28" s="10"/>
      <c r="M28" s="10"/>
      <c r="N28" s="9"/>
    </row>
    <row r="29" customFormat="false" ht="15" hidden="false" customHeight="true" outlineLevel="0" collapsed="false">
      <c r="A29" s="12" t="s">
        <v>111</v>
      </c>
      <c r="B29" s="11"/>
      <c r="C29" s="11"/>
      <c r="D29" s="11"/>
      <c r="E29" s="11"/>
      <c r="F29" s="11"/>
      <c r="G29" s="12"/>
      <c r="H29" s="12"/>
      <c r="I29" s="12"/>
      <c r="J29" s="12"/>
      <c r="K29" s="12"/>
      <c r="L29" s="12"/>
      <c r="M29" s="12"/>
      <c r="N29" s="11"/>
    </row>
    <row r="30" customFormat="false" ht="15" hidden="false" customHeight="true" outlineLevel="0" collapsed="false">
      <c r="A30" s="10" t="s">
        <v>112</v>
      </c>
      <c r="B30" s="9"/>
      <c r="C30" s="9"/>
      <c r="D30" s="9"/>
      <c r="E30" s="9"/>
      <c r="F30" s="9"/>
      <c r="G30" s="10"/>
      <c r="H30" s="10"/>
      <c r="I30" s="10"/>
      <c r="J30" s="10"/>
      <c r="K30" s="10"/>
      <c r="L30" s="10"/>
      <c r="M30" s="10"/>
      <c r="N30" s="9"/>
    </row>
    <row r="31" customFormat="false" ht="15" hidden="false" customHeight="true" outlineLevel="0" collapsed="false">
      <c r="A31" s="12" t="s">
        <v>113</v>
      </c>
      <c r="B31" s="11"/>
      <c r="C31" s="11"/>
      <c r="D31" s="11"/>
      <c r="E31" s="11"/>
      <c r="F31" s="11"/>
      <c r="G31" s="12"/>
      <c r="H31" s="12"/>
      <c r="I31" s="12"/>
      <c r="J31" s="12"/>
      <c r="K31" s="12"/>
      <c r="L31" s="12"/>
      <c r="M31" s="12"/>
      <c r="N31" s="11"/>
    </row>
    <row r="32" customFormat="false" ht="15" hidden="false" customHeight="true" outlineLevel="0" collapsed="false">
      <c r="A32" s="10" t="s">
        <v>114</v>
      </c>
      <c r="B32" s="9"/>
      <c r="C32" s="9"/>
      <c r="D32" s="9"/>
      <c r="E32" s="9"/>
      <c r="F32" s="9"/>
      <c r="G32" s="10"/>
      <c r="H32" s="10"/>
      <c r="I32" s="10"/>
      <c r="J32" s="10"/>
      <c r="K32" s="10"/>
      <c r="L32" s="10"/>
      <c r="M32" s="10"/>
      <c r="N32" s="9"/>
    </row>
    <row r="33" customFormat="false" ht="15" hidden="false" customHeight="true" outlineLevel="0" collapsed="false">
      <c r="A33" s="12" t="s">
        <v>115</v>
      </c>
      <c r="B33" s="11"/>
      <c r="C33" s="11"/>
      <c r="D33" s="11"/>
      <c r="E33" s="11"/>
      <c r="F33" s="11"/>
      <c r="G33" s="12"/>
      <c r="H33" s="12"/>
      <c r="I33" s="12"/>
      <c r="J33" s="12"/>
      <c r="K33" s="12"/>
      <c r="L33" s="12"/>
      <c r="M33" s="12"/>
      <c r="N33" s="11"/>
    </row>
    <row r="34" customFormat="false" ht="4.5" hidden="false" customHeight="true" outlineLevel="0" collapsed="false"/>
    <row r="35" customFormat="false" ht="21.75" hidden="false" customHeight="true" outlineLevel="0" collapsed="false">
      <c r="A35" s="5" t="s">
        <v>116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customFormat="false" ht="15.75" hidden="false" customHeight="true" outlineLevel="0" collapsed="false">
      <c r="A36" s="6" t="s">
        <v>117</v>
      </c>
      <c r="B36" s="6"/>
      <c r="C36" s="6"/>
      <c r="D36" s="6"/>
      <c r="E36" s="6"/>
      <c r="F36" s="6"/>
      <c r="G36" s="6"/>
      <c r="H36" s="6"/>
      <c r="I36" s="14" t="n">
        <f aca="false">COUNTA(A4:A33)</f>
        <v>30</v>
      </c>
    </row>
    <row r="37" customFormat="false" ht="15.75" hidden="false" customHeight="true" outlineLevel="0" collapsed="false">
      <c r="A37" s="6" t="s">
        <v>118</v>
      </c>
      <c r="B37" s="6"/>
      <c r="C37" s="6"/>
      <c r="D37" s="6"/>
      <c r="E37" s="6"/>
      <c r="F37" s="6"/>
      <c r="G37" s="6"/>
      <c r="H37" s="6"/>
      <c r="I37" s="14" t="n">
        <f aca="false">COUNTIF(L4:L33,"Poor")</f>
        <v>0</v>
      </c>
    </row>
    <row r="38" customFormat="false" ht="15.75" hidden="false" customHeight="true" outlineLevel="0" collapsed="false">
      <c r="A38" s="6" t="s">
        <v>119</v>
      </c>
      <c r="B38" s="6"/>
      <c r="C38" s="6"/>
      <c r="D38" s="6"/>
      <c r="E38" s="6"/>
      <c r="F38" s="6"/>
      <c r="G38" s="6"/>
      <c r="H38" s="6"/>
      <c r="I38" s="14" t="n">
        <f aca="true">COUNTIF(M4:M33,"&gt;"&amp;TODAY())</f>
        <v>0</v>
      </c>
    </row>
    <row r="39" customFormat="false" ht="15.75" hidden="false" customHeight="true" outlineLevel="0" collapsed="false">
      <c r="A39" s="6" t="s">
        <v>120</v>
      </c>
      <c r="B39" s="6"/>
      <c r="C39" s="6"/>
      <c r="D39" s="6"/>
      <c r="E39" s="6"/>
      <c r="F39" s="6"/>
      <c r="G39" s="6"/>
      <c r="H39" s="6"/>
      <c r="I39" s="14" t="n">
        <f aca="true">COUNTIF(K4:K33,"&lt;"&amp;TODAY())</f>
        <v>0</v>
      </c>
    </row>
    <row r="40" customFormat="false" ht="4.5" hidden="false" customHeight="true" outlineLevel="0" collapsed="false"/>
    <row r="41" customFormat="false" ht="18" hidden="false" customHeight="true" outlineLevel="0" collapsed="false">
      <c r="A41" s="13" t="s">
        <v>70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</row>
  </sheetData>
  <mergeCells count="9">
    <mergeCell ref="A1:G1"/>
    <mergeCell ref="H1:N1"/>
    <mergeCell ref="A2:N2"/>
    <mergeCell ref="A35:N35"/>
    <mergeCell ref="A36:H36"/>
    <mergeCell ref="A37:H37"/>
    <mergeCell ref="A38:H38"/>
    <mergeCell ref="A39:H39"/>
    <mergeCell ref="A41:N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14" min="3" style="0" width="8"/>
    <col collapsed="false" customWidth="true" hidden="false" outlineLevel="0" max="15" min="15" style="0" width="10"/>
    <col collapsed="false" customWidth="true" hidden="false" outlineLevel="0" max="16" min="16" style="0" width="1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2" t="s">
        <v>1</v>
      </c>
      <c r="J1" s="2"/>
      <c r="K1" s="2"/>
      <c r="L1" s="2"/>
      <c r="M1" s="2"/>
      <c r="N1" s="2"/>
      <c r="O1" s="2"/>
      <c r="P1" s="2"/>
    </row>
    <row r="2" customFormat="false" ht="21.75" hidden="false" customHeight="true" outlineLevel="0" collapsed="false">
      <c r="A2" s="5" t="s">
        <v>121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customFormat="false" ht="18" hidden="false" customHeight="true" outlineLevel="0" collapsed="false">
      <c r="A3" s="8" t="s">
        <v>122</v>
      </c>
      <c r="B3" s="8" t="s">
        <v>123</v>
      </c>
      <c r="C3" s="8" t="s">
        <v>124</v>
      </c>
      <c r="D3" s="8" t="s">
        <v>125</v>
      </c>
      <c r="E3" s="8" t="s">
        <v>126</v>
      </c>
      <c r="F3" s="8" t="s">
        <v>127</v>
      </c>
      <c r="G3" s="8" t="s">
        <v>128</v>
      </c>
      <c r="H3" s="8" t="s">
        <v>129</v>
      </c>
      <c r="I3" s="8" t="s">
        <v>130</v>
      </c>
      <c r="J3" s="8" t="s">
        <v>131</v>
      </c>
      <c r="K3" s="8" t="s">
        <v>132</v>
      </c>
      <c r="L3" s="8" t="s">
        <v>133</v>
      </c>
      <c r="M3" s="8" t="s">
        <v>134</v>
      </c>
      <c r="N3" s="8" t="s">
        <v>135</v>
      </c>
      <c r="O3" s="8" t="s">
        <v>136</v>
      </c>
      <c r="P3" s="8" t="s">
        <v>137</v>
      </c>
    </row>
    <row r="4" customFormat="false" ht="13.5" hidden="false" customHeight="true" outlineLevel="0" collapsed="false">
      <c r="A4" s="15" t="s">
        <v>138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customFormat="false" ht="15" hidden="false" customHeight="true" outlineLevel="0" collapsed="false">
      <c r="A5" s="9" t="s">
        <v>139</v>
      </c>
      <c r="B5" s="10" t="s">
        <v>41</v>
      </c>
      <c r="C5" s="10"/>
      <c r="D5" s="10"/>
      <c r="E5" s="16" t="s">
        <v>140</v>
      </c>
      <c r="F5" s="10"/>
      <c r="G5" s="10"/>
      <c r="H5" s="16" t="s">
        <v>140</v>
      </c>
      <c r="I5" s="10"/>
      <c r="J5" s="10"/>
      <c r="K5" s="16" t="s">
        <v>140</v>
      </c>
      <c r="L5" s="10"/>
      <c r="M5" s="10"/>
      <c r="N5" s="16" t="s">
        <v>140</v>
      </c>
      <c r="O5" s="10" t="n">
        <f aca="false">COUNTA(C5:N5)</f>
        <v>4</v>
      </c>
      <c r="P5" s="10"/>
    </row>
    <row r="6" customFormat="false" ht="15" hidden="false" customHeight="true" outlineLevel="0" collapsed="false">
      <c r="A6" s="11" t="s">
        <v>141</v>
      </c>
      <c r="B6" s="12" t="s">
        <v>40</v>
      </c>
      <c r="C6" s="17" t="s">
        <v>140</v>
      </c>
      <c r="D6" s="17" t="s">
        <v>140</v>
      </c>
      <c r="E6" s="17" t="s">
        <v>140</v>
      </c>
      <c r="F6" s="17" t="s">
        <v>140</v>
      </c>
      <c r="G6" s="17" t="s">
        <v>140</v>
      </c>
      <c r="H6" s="17" t="s">
        <v>140</v>
      </c>
      <c r="I6" s="17" t="s">
        <v>140</v>
      </c>
      <c r="J6" s="17" t="s">
        <v>140</v>
      </c>
      <c r="K6" s="17" t="s">
        <v>140</v>
      </c>
      <c r="L6" s="17" t="s">
        <v>140</v>
      </c>
      <c r="M6" s="17" t="s">
        <v>140</v>
      </c>
      <c r="N6" s="17" t="s">
        <v>140</v>
      </c>
      <c r="O6" s="12" t="n">
        <f aca="false">COUNTA(C6:N6)</f>
        <v>12</v>
      </c>
      <c r="P6" s="12"/>
    </row>
    <row r="7" customFormat="false" ht="15" hidden="false" customHeight="true" outlineLevel="0" collapsed="false">
      <c r="A7" s="9" t="s">
        <v>142</v>
      </c>
      <c r="B7" s="10" t="s">
        <v>41</v>
      </c>
      <c r="C7" s="10"/>
      <c r="D7" s="10"/>
      <c r="E7" s="16" t="s">
        <v>140</v>
      </c>
      <c r="F7" s="10"/>
      <c r="G7" s="10"/>
      <c r="H7" s="16" t="s">
        <v>140</v>
      </c>
      <c r="I7" s="10"/>
      <c r="J7" s="10"/>
      <c r="K7" s="16" t="s">
        <v>140</v>
      </c>
      <c r="L7" s="10"/>
      <c r="M7" s="10"/>
      <c r="N7" s="16" t="s">
        <v>140</v>
      </c>
      <c r="O7" s="10" t="n">
        <f aca="false">COUNTA(C7:N7)</f>
        <v>4</v>
      </c>
      <c r="P7" s="10"/>
    </row>
    <row r="8" customFormat="false" ht="15" hidden="false" customHeight="true" outlineLevel="0" collapsed="false">
      <c r="A8" s="11" t="s">
        <v>143</v>
      </c>
      <c r="B8" s="12" t="s">
        <v>40</v>
      </c>
      <c r="C8" s="17" t="s">
        <v>140</v>
      </c>
      <c r="D8" s="17" t="s">
        <v>140</v>
      </c>
      <c r="E8" s="17" t="s">
        <v>140</v>
      </c>
      <c r="F8" s="17" t="s">
        <v>140</v>
      </c>
      <c r="G8" s="17" t="s">
        <v>140</v>
      </c>
      <c r="H8" s="17" t="s">
        <v>140</v>
      </c>
      <c r="I8" s="17" t="s">
        <v>140</v>
      </c>
      <c r="J8" s="17" t="s">
        <v>140</v>
      </c>
      <c r="K8" s="17" t="s">
        <v>140</v>
      </c>
      <c r="L8" s="17" t="s">
        <v>140</v>
      </c>
      <c r="M8" s="17" t="s">
        <v>140</v>
      </c>
      <c r="N8" s="17" t="s">
        <v>140</v>
      </c>
      <c r="O8" s="12" t="n">
        <f aca="false">COUNTA(C8:N8)</f>
        <v>12</v>
      </c>
      <c r="P8" s="12"/>
    </row>
    <row r="9" customFormat="false" ht="15" hidden="false" customHeight="true" outlineLevel="0" collapsed="false">
      <c r="A9" s="9" t="s">
        <v>144</v>
      </c>
      <c r="B9" s="10" t="s">
        <v>42</v>
      </c>
      <c r="C9" s="10"/>
      <c r="D9" s="10"/>
      <c r="E9" s="10"/>
      <c r="F9" s="10"/>
      <c r="G9" s="10"/>
      <c r="H9" s="16" t="s">
        <v>140</v>
      </c>
      <c r="I9" s="10"/>
      <c r="J9" s="10"/>
      <c r="K9" s="10"/>
      <c r="L9" s="10"/>
      <c r="M9" s="10"/>
      <c r="N9" s="16" t="s">
        <v>140</v>
      </c>
      <c r="O9" s="10" t="n">
        <f aca="false">COUNTA(C9:N9)</f>
        <v>2</v>
      </c>
      <c r="P9" s="10"/>
    </row>
    <row r="10" customFormat="false" ht="15" hidden="false" customHeight="true" outlineLevel="0" collapsed="false">
      <c r="A10" s="11" t="s">
        <v>145</v>
      </c>
      <c r="B10" s="12" t="s">
        <v>41</v>
      </c>
      <c r="C10" s="12"/>
      <c r="D10" s="12"/>
      <c r="E10" s="17" t="s">
        <v>140</v>
      </c>
      <c r="F10" s="12"/>
      <c r="G10" s="12"/>
      <c r="H10" s="17" t="s">
        <v>140</v>
      </c>
      <c r="I10" s="12"/>
      <c r="J10" s="12"/>
      <c r="K10" s="17" t="s">
        <v>140</v>
      </c>
      <c r="L10" s="12"/>
      <c r="M10" s="12"/>
      <c r="N10" s="17" t="s">
        <v>140</v>
      </c>
      <c r="O10" s="12" t="n">
        <f aca="false">COUNTA(C10:N10)</f>
        <v>4</v>
      </c>
      <c r="P10" s="12"/>
    </row>
    <row r="11" customFormat="false" ht="15" hidden="false" customHeight="true" outlineLevel="0" collapsed="false">
      <c r="A11" s="9" t="s">
        <v>146</v>
      </c>
      <c r="B11" s="10" t="s">
        <v>42</v>
      </c>
      <c r="C11" s="10"/>
      <c r="D11" s="10"/>
      <c r="E11" s="10"/>
      <c r="F11" s="10"/>
      <c r="G11" s="10"/>
      <c r="H11" s="16" t="s">
        <v>140</v>
      </c>
      <c r="I11" s="10"/>
      <c r="J11" s="10"/>
      <c r="K11" s="10"/>
      <c r="L11" s="10"/>
      <c r="M11" s="10"/>
      <c r="N11" s="16" t="s">
        <v>140</v>
      </c>
      <c r="O11" s="10" t="n">
        <f aca="false">COUNTA(C11:N11)</f>
        <v>2</v>
      </c>
      <c r="P11" s="10"/>
    </row>
    <row r="12" customFormat="false" ht="15" hidden="false" customHeight="true" outlineLevel="0" collapsed="false">
      <c r="A12" s="11" t="s">
        <v>147</v>
      </c>
      <c r="B12" s="12" t="s">
        <v>41</v>
      </c>
      <c r="C12" s="12"/>
      <c r="D12" s="12"/>
      <c r="E12" s="17" t="s">
        <v>140</v>
      </c>
      <c r="F12" s="12"/>
      <c r="G12" s="12"/>
      <c r="H12" s="17" t="s">
        <v>140</v>
      </c>
      <c r="I12" s="12"/>
      <c r="J12" s="12"/>
      <c r="K12" s="17" t="s">
        <v>140</v>
      </c>
      <c r="L12" s="12"/>
      <c r="M12" s="12"/>
      <c r="N12" s="17" t="s">
        <v>140</v>
      </c>
      <c r="O12" s="12" t="n">
        <f aca="false">COUNTA(C12:N12)</f>
        <v>4</v>
      </c>
      <c r="P12" s="12"/>
    </row>
    <row r="13" customFormat="false" ht="15" hidden="false" customHeight="true" outlineLevel="0" collapsed="false">
      <c r="A13" s="9" t="s">
        <v>148</v>
      </c>
      <c r="B13" s="10" t="s">
        <v>40</v>
      </c>
      <c r="C13" s="16" t="s">
        <v>140</v>
      </c>
      <c r="D13" s="16" t="s">
        <v>140</v>
      </c>
      <c r="E13" s="16" t="s">
        <v>140</v>
      </c>
      <c r="F13" s="16" t="s">
        <v>140</v>
      </c>
      <c r="G13" s="16" t="s">
        <v>140</v>
      </c>
      <c r="H13" s="16" t="s">
        <v>140</v>
      </c>
      <c r="I13" s="16" t="s">
        <v>140</v>
      </c>
      <c r="J13" s="16" t="s">
        <v>140</v>
      </c>
      <c r="K13" s="16" t="s">
        <v>140</v>
      </c>
      <c r="L13" s="16" t="s">
        <v>140</v>
      </c>
      <c r="M13" s="16" t="s">
        <v>140</v>
      </c>
      <c r="N13" s="16" t="s">
        <v>140</v>
      </c>
      <c r="O13" s="10" t="n">
        <f aca="false">COUNTA(C13:N13)</f>
        <v>12</v>
      </c>
      <c r="P13" s="10"/>
    </row>
    <row r="14" customFormat="false" ht="15" hidden="false" customHeight="true" outlineLevel="0" collapsed="false">
      <c r="A14" s="11" t="s">
        <v>149</v>
      </c>
      <c r="B14" s="12" t="s">
        <v>42</v>
      </c>
      <c r="C14" s="12"/>
      <c r="D14" s="12"/>
      <c r="E14" s="12"/>
      <c r="F14" s="12"/>
      <c r="G14" s="12"/>
      <c r="H14" s="17" t="s">
        <v>140</v>
      </c>
      <c r="I14" s="12"/>
      <c r="J14" s="12"/>
      <c r="K14" s="12"/>
      <c r="L14" s="12"/>
      <c r="M14" s="12"/>
      <c r="N14" s="17" t="s">
        <v>140</v>
      </c>
      <c r="O14" s="12" t="n">
        <f aca="false">COUNTA(C14:N14)</f>
        <v>2</v>
      </c>
      <c r="P14" s="12"/>
    </row>
    <row r="15" customFormat="false" ht="15" hidden="false" customHeight="true" outlineLevel="0" collapsed="false">
      <c r="A15" s="9" t="s">
        <v>150</v>
      </c>
      <c r="B15" s="10" t="s">
        <v>43</v>
      </c>
      <c r="C15" s="10"/>
      <c r="D15" s="10"/>
      <c r="E15" s="10"/>
      <c r="F15" s="10"/>
      <c r="G15" s="10"/>
      <c r="H15" s="16" t="s">
        <v>140</v>
      </c>
      <c r="I15" s="10"/>
      <c r="J15" s="10"/>
      <c r="K15" s="10"/>
      <c r="L15" s="10"/>
      <c r="M15" s="10"/>
      <c r="N15" s="10"/>
      <c r="O15" s="10" t="n">
        <f aca="false">COUNTA(C15:N15)</f>
        <v>1</v>
      </c>
      <c r="P15" s="10"/>
    </row>
    <row r="16" customFormat="false" ht="15" hidden="false" customHeight="true" outlineLevel="0" collapsed="false">
      <c r="A16" s="11" t="s">
        <v>151</v>
      </c>
      <c r="B16" s="12" t="s">
        <v>40</v>
      </c>
      <c r="C16" s="17" t="s">
        <v>140</v>
      </c>
      <c r="D16" s="17" t="s">
        <v>140</v>
      </c>
      <c r="E16" s="17" t="s">
        <v>140</v>
      </c>
      <c r="F16" s="17" t="s">
        <v>140</v>
      </c>
      <c r="G16" s="17" t="s">
        <v>140</v>
      </c>
      <c r="H16" s="17" t="s">
        <v>140</v>
      </c>
      <c r="I16" s="17" t="s">
        <v>140</v>
      </c>
      <c r="J16" s="17" t="s">
        <v>140</v>
      </c>
      <c r="K16" s="17" t="s">
        <v>140</v>
      </c>
      <c r="L16" s="17" t="s">
        <v>140</v>
      </c>
      <c r="M16" s="17" t="s">
        <v>140</v>
      </c>
      <c r="N16" s="17" t="s">
        <v>140</v>
      </c>
      <c r="O16" s="12" t="n">
        <f aca="false">COUNTA(C16:N16)</f>
        <v>12</v>
      </c>
      <c r="P16" s="12"/>
    </row>
    <row r="17" customFormat="false" ht="15" hidden="false" customHeight="true" outlineLevel="0" collapsed="false">
      <c r="A17" s="9" t="s">
        <v>152</v>
      </c>
      <c r="B17" s="10" t="s">
        <v>40</v>
      </c>
      <c r="C17" s="16" t="s">
        <v>140</v>
      </c>
      <c r="D17" s="16" t="s">
        <v>140</v>
      </c>
      <c r="E17" s="16" t="s">
        <v>140</v>
      </c>
      <c r="F17" s="16" t="s">
        <v>140</v>
      </c>
      <c r="G17" s="16" t="s">
        <v>140</v>
      </c>
      <c r="H17" s="16" t="s">
        <v>140</v>
      </c>
      <c r="I17" s="16" t="s">
        <v>140</v>
      </c>
      <c r="J17" s="16" t="s">
        <v>140</v>
      </c>
      <c r="K17" s="16" t="s">
        <v>140</v>
      </c>
      <c r="L17" s="16" t="s">
        <v>140</v>
      </c>
      <c r="M17" s="16" t="s">
        <v>140</v>
      </c>
      <c r="N17" s="16" t="s">
        <v>140</v>
      </c>
      <c r="O17" s="10" t="n">
        <f aca="false">COUNTA(C17:N17)</f>
        <v>12</v>
      </c>
      <c r="P17" s="10"/>
    </row>
    <row r="18" customFormat="false" ht="15" hidden="false" customHeight="true" outlineLevel="0" collapsed="false">
      <c r="A18" s="11" t="s">
        <v>153</v>
      </c>
      <c r="B18" s="12" t="s">
        <v>43</v>
      </c>
      <c r="C18" s="12"/>
      <c r="D18" s="12"/>
      <c r="E18" s="12"/>
      <c r="F18" s="12"/>
      <c r="G18" s="12"/>
      <c r="H18" s="12"/>
      <c r="I18" s="12"/>
      <c r="J18" s="12"/>
      <c r="K18" s="17" t="s">
        <v>140</v>
      </c>
      <c r="L18" s="12"/>
      <c r="M18" s="12"/>
      <c r="N18" s="12"/>
      <c r="O18" s="12" t="n">
        <f aca="false">COUNTA(C18:N18)</f>
        <v>1</v>
      </c>
      <c r="P18" s="12"/>
    </row>
    <row r="19" customFormat="false" ht="15" hidden="false" customHeight="true" outlineLevel="0" collapsed="false">
      <c r="A19" s="9" t="s">
        <v>154</v>
      </c>
      <c r="B19" s="10" t="s">
        <v>43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6" t="s">
        <v>140</v>
      </c>
      <c r="N19" s="10"/>
      <c r="O19" s="10" t="n">
        <f aca="false">COUNTA(C19:N19)</f>
        <v>1</v>
      </c>
      <c r="P19" s="10"/>
    </row>
    <row r="20" customFormat="false" ht="15" hidden="false" customHeight="true" outlineLevel="0" collapsed="false">
      <c r="A20" s="11" t="s">
        <v>155</v>
      </c>
      <c r="B20" s="12" t="s">
        <v>40</v>
      </c>
      <c r="C20" s="17" t="s">
        <v>140</v>
      </c>
      <c r="D20" s="17" t="s">
        <v>140</v>
      </c>
      <c r="E20" s="17" t="s">
        <v>140</v>
      </c>
      <c r="F20" s="17" t="s">
        <v>140</v>
      </c>
      <c r="G20" s="17" t="s">
        <v>140</v>
      </c>
      <c r="H20" s="17" t="s">
        <v>140</v>
      </c>
      <c r="I20" s="17" t="s">
        <v>140</v>
      </c>
      <c r="J20" s="17" t="s">
        <v>140</v>
      </c>
      <c r="K20" s="17" t="s">
        <v>140</v>
      </c>
      <c r="L20" s="17" t="s">
        <v>140</v>
      </c>
      <c r="M20" s="17" t="s">
        <v>140</v>
      </c>
      <c r="N20" s="17" t="s">
        <v>140</v>
      </c>
      <c r="O20" s="12" t="n">
        <f aca="false">COUNTA(C20:N20)</f>
        <v>12</v>
      </c>
      <c r="P20" s="12"/>
    </row>
    <row r="21" customFormat="false" ht="15" hidden="false" customHeight="true" outlineLevel="0" collapsed="false">
      <c r="A21" s="9" t="s">
        <v>156</v>
      </c>
      <c r="B21" s="10" t="s">
        <v>41</v>
      </c>
      <c r="C21" s="10"/>
      <c r="D21" s="10"/>
      <c r="E21" s="16" t="s">
        <v>140</v>
      </c>
      <c r="F21" s="10"/>
      <c r="G21" s="10"/>
      <c r="H21" s="16" t="s">
        <v>140</v>
      </c>
      <c r="I21" s="10"/>
      <c r="J21" s="10"/>
      <c r="K21" s="16" t="s">
        <v>140</v>
      </c>
      <c r="L21" s="10"/>
      <c r="M21" s="10"/>
      <c r="N21" s="16" t="s">
        <v>140</v>
      </c>
      <c r="O21" s="10" t="n">
        <f aca="false">COUNTA(C21:N21)</f>
        <v>4</v>
      </c>
      <c r="P21" s="10"/>
    </row>
    <row r="22" customFormat="false" ht="15" hidden="false" customHeight="true" outlineLevel="0" collapsed="false">
      <c r="A22" s="11" t="s">
        <v>157</v>
      </c>
      <c r="B22" s="12" t="s">
        <v>42</v>
      </c>
      <c r="C22" s="12"/>
      <c r="D22" s="12"/>
      <c r="E22" s="12"/>
      <c r="F22" s="12"/>
      <c r="G22" s="17" t="s">
        <v>140</v>
      </c>
      <c r="H22" s="12"/>
      <c r="I22" s="12"/>
      <c r="J22" s="12"/>
      <c r="K22" s="12"/>
      <c r="L22" s="12"/>
      <c r="M22" s="17" t="s">
        <v>140</v>
      </c>
      <c r="N22" s="12"/>
      <c r="O22" s="12" t="n">
        <f aca="false">COUNTA(C22:N22)</f>
        <v>2</v>
      </c>
      <c r="P22" s="12"/>
    </row>
    <row r="23" customFormat="false" ht="15" hidden="false" customHeight="true" outlineLevel="0" collapsed="false">
      <c r="A23" s="9" t="s">
        <v>158</v>
      </c>
      <c r="B23" s="10" t="s">
        <v>43</v>
      </c>
      <c r="C23" s="10"/>
      <c r="D23" s="10"/>
      <c r="E23" s="10"/>
      <c r="F23" s="10"/>
      <c r="G23" s="10"/>
      <c r="H23" s="16" t="s">
        <v>140</v>
      </c>
      <c r="I23" s="10"/>
      <c r="J23" s="10"/>
      <c r="K23" s="10"/>
      <c r="L23" s="10"/>
      <c r="M23" s="10"/>
      <c r="N23" s="10"/>
      <c r="O23" s="10" t="n">
        <f aca="false">COUNTA(C23:N23)</f>
        <v>1</v>
      </c>
      <c r="P23" s="10"/>
    </row>
    <row r="24" customFormat="false" ht="15" hidden="false" customHeight="true" outlineLevel="0" collapsed="false">
      <c r="A24" s="11" t="s">
        <v>159</v>
      </c>
      <c r="B24" s="12" t="s">
        <v>41</v>
      </c>
      <c r="C24" s="12"/>
      <c r="D24" s="12"/>
      <c r="E24" s="17" t="s">
        <v>140</v>
      </c>
      <c r="F24" s="12"/>
      <c r="G24" s="12"/>
      <c r="H24" s="17" t="s">
        <v>140</v>
      </c>
      <c r="I24" s="12"/>
      <c r="J24" s="12"/>
      <c r="K24" s="17" t="s">
        <v>140</v>
      </c>
      <c r="L24" s="12"/>
      <c r="M24" s="12"/>
      <c r="N24" s="17" t="s">
        <v>140</v>
      </c>
      <c r="O24" s="12" t="n">
        <f aca="false">COUNTA(C24:N24)</f>
        <v>4</v>
      </c>
      <c r="P24" s="12"/>
    </row>
    <row r="25" customFormat="false" ht="15" hidden="false" customHeight="true" outlineLevel="0" collapsed="false">
      <c r="A25" s="9" t="s">
        <v>160</v>
      </c>
      <c r="B25" s="10" t="s">
        <v>42</v>
      </c>
      <c r="C25" s="10"/>
      <c r="D25" s="10"/>
      <c r="E25" s="10"/>
      <c r="F25" s="10"/>
      <c r="G25" s="10"/>
      <c r="H25" s="16" t="s">
        <v>140</v>
      </c>
      <c r="I25" s="10"/>
      <c r="J25" s="10"/>
      <c r="K25" s="10"/>
      <c r="L25" s="10"/>
      <c r="M25" s="10"/>
      <c r="N25" s="16" t="s">
        <v>140</v>
      </c>
      <c r="O25" s="10" t="n">
        <f aca="false">COUNTA(C25:N25)</f>
        <v>2</v>
      </c>
      <c r="P25" s="10"/>
    </row>
    <row r="26" customFormat="false" ht="15" hidden="false" customHeight="true" outlineLevel="0" collapsed="false">
      <c r="A26" s="11" t="s">
        <v>161</v>
      </c>
      <c r="B26" s="12" t="s">
        <v>43</v>
      </c>
      <c r="C26" s="12"/>
      <c r="D26" s="12"/>
      <c r="E26" s="12"/>
      <c r="F26" s="12"/>
      <c r="G26" s="12"/>
      <c r="H26" s="12"/>
      <c r="I26" s="17" t="s">
        <v>140</v>
      </c>
      <c r="J26" s="12"/>
      <c r="K26" s="12"/>
      <c r="L26" s="12"/>
      <c r="M26" s="12"/>
      <c r="N26" s="12"/>
      <c r="O26" s="12" t="n">
        <f aca="false">COUNTA(C26:N26)</f>
        <v>1</v>
      </c>
      <c r="P26" s="12"/>
    </row>
    <row r="27" customFormat="false" ht="15" hidden="false" customHeight="true" outlineLevel="0" collapsed="false">
      <c r="A27" s="9" t="s">
        <v>162</v>
      </c>
      <c r="B27" s="10" t="s">
        <v>42</v>
      </c>
      <c r="C27" s="10"/>
      <c r="D27" s="16" t="s">
        <v>140</v>
      </c>
      <c r="E27" s="10"/>
      <c r="F27" s="10"/>
      <c r="G27" s="10"/>
      <c r="H27" s="10"/>
      <c r="I27" s="10"/>
      <c r="J27" s="16" t="s">
        <v>140</v>
      </c>
      <c r="K27" s="10"/>
      <c r="L27" s="10"/>
      <c r="M27" s="10"/>
      <c r="N27" s="10"/>
      <c r="O27" s="10" t="n">
        <f aca="false">COUNTA(C27:N27)</f>
        <v>2</v>
      </c>
      <c r="P27" s="10"/>
    </row>
    <row r="28" customFormat="false" ht="15" hidden="false" customHeight="true" outlineLevel="0" collapsed="false">
      <c r="A28" s="11" t="s">
        <v>163</v>
      </c>
      <c r="B28" s="12" t="s">
        <v>43</v>
      </c>
      <c r="C28" s="12"/>
      <c r="D28" s="12"/>
      <c r="E28" s="12"/>
      <c r="F28" s="12"/>
      <c r="G28" s="12"/>
      <c r="H28" s="12"/>
      <c r="I28" s="12"/>
      <c r="J28" s="12"/>
      <c r="K28" s="12"/>
      <c r="L28" s="17" t="s">
        <v>140</v>
      </c>
      <c r="M28" s="12"/>
      <c r="N28" s="12"/>
      <c r="O28" s="12" t="n">
        <f aca="false">COUNTA(C28:N28)</f>
        <v>1</v>
      </c>
      <c r="P28" s="12"/>
    </row>
    <row r="29" customFormat="false" ht="4.5" hidden="false" customHeight="true" outlineLevel="0" collapsed="false"/>
    <row r="30" customFormat="false" ht="21.75" hidden="false" customHeight="true" outlineLevel="0" collapsed="false">
      <c r="A30" s="5" t="s">
        <v>164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customFormat="false" ht="15.75" hidden="false" customHeight="true" outlineLevel="0" collapsed="false">
      <c r="A31" s="6" t="s">
        <v>165</v>
      </c>
      <c r="B31" s="6"/>
      <c r="C31" s="14" t="n">
        <f aca="false">SUM(O5:O29)</f>
        <v>114</v>
      </c>
    </row>
    <row r="32" customFormat="false" ht="15.75" hidden="false" customHeight="true" outlineLevel="0" collapsed="false">
      <c r="A32" s="6" t="s">
        <v>166</v>
      </c>
      <c r="B32" s="6"/>
      <c r="C32" s="14"/>
    </row>
    <row r="33" customFormat="false" ht="15.75" hidden="false" customHeight="true" outlineLevel="0" collapsed="false">
      <c r="A33" s="6" t="s">
        <v>167</v>
      </c>
      <c r="B33" s="6"/>
      <c r="C33" s="14"/>
    </row>
    <row r="34" customFormat="false" ht="4.5" hidden="false" customHeight="true" outlineLevel="0" collapsed="false"/>
    <row r="35" customFormat="false" ht="18" hidden="false" customHeight="true" outlineLevel="0" collapsed="false">
      <c r="A35" s="13" t="s">
        <v>70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</row>
  </sheetData>
  <mergeCells count="9">
    <mergeCell ref="A1:H1"/>
    <mergeCell ref="I1:P1"/>
    <mergeCell ref="A2:P2"/>
    <mergeCell ref="A4:P4"/>
    <mergeCell ref="A30:P30"/>
    <mergeCell ref="A31:B31"/>
    <mergeCell ref="A32:B32"/>
    <mergeCell ref="A33:B33"/>
    <mergeCell ref="A35:P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11" min="3" style="0" width="10"/>
    <col collapsed="false" customWidth="true" hidden="false" outlineLevel="0" max="12" min="12" style="0" width="1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</row>
    <row r="2" customFormat="false" ht="21.75" hidden="false" customHeight="true" outlineLevel="0" collapsed="false">
      <c r="A2" s="5" t="s">
        <v>168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customFormat="false" ht="18" hidden="false" customHeight="true" outlineLevel="0" collapsed="false">
      <c r="A3" s="8" t="s">
        <v>169</v>
      </c>
      <c r="B3" s="8" t="s">
        <v>170</v>
      </c>
      <c r="C3" s="8" t="s">
        <v>171</v>
      </c>
      <c r="D3" s="8" t="s">
        <v>172</v>
      </c>
      <c r="E3" s="8" t="s">
        <v>173</v>
      </c>
      <c r="F3" s="8" t="s">
        <v>174</v>
      </c>
      <c r="G3" s="8" t="s">
        <v>175</v>
      </c>
      <c r="H3" s="8" t="s">
        <v>176</v>
      </c>
      <c r="I3" s="8" t="s">
        <v>177</v>
      </c>
      <c r="J3" s="8" t="s">
        <v>178</v>
      </c>
      <c r="K3" s="8" t="s">
        <v>179</v>
      </c>
      <c r="L3" s="8" t="s">
        <v>180</v>
      </c>
    </row>
    <row r="4" customFormat="false" ht="15" hidden="false" customHeight="true" outlineLevel="0" collapsed="false">
      <c r="A4" s="9"/>
      <c r="B4" s="10"/>
      <c r="C4" s="10"/>
      <c r="D4" s="10"/>
      <c r="E4" s="9"/>
      <c r="F4" s="10"/>
      <c r="G4" s="10"/>
      <c r="H4" s="10" t="str">
        <f aca="false">IF(AND(F4&lt;&gt;"",G4&lt;&gt;""),G4-F4,"")</f>
        <v/>
      </c>
      <c r="I4" s="9"/>
      <c r="J4" s="9"/>
      <c r="K4" s="9"/>
      <c r="L4" s="10"/>
    </row>
    <row r="5" customFormat="false" ht="15" hidden="false" customHeight="true" outlineLevel="0" collapsed="false">
      <c r="A5" s="11"/>
      <c r="B5" s="12"/>
      <c r="C5" s="12"/>
      <c r="D5" s="12"/>
      <c r="E5" s="11"/>
      <c r="F5" s="12"/>
      <c r="G5" s="12"/>
      <c r="H5" s="12" t="str">
        <f aca="false">IF(AND(F5&lt;&gt;"",G5&lt;&gt;""),G5-F5,"")</f>
        <v/>
      </c>
      <c r="I5" s="11"/>
      <c r="J5" s="11"/>
      <c r="K5" s="11"/>
      <c r="L5" s="12"/>
    </row>
    <row r="6" customFormat="false" ht="15" hidden="false" customHeight="true" outlineLevel="0" collapsed="false">
      <c r="A6" s="9"/>
      <c r="B6" s="10"/>
      <c r="C6" s="10"/>
      <c r="D6" s="10"/>
      <c r="E6" s="9"/>
      <c r="F6" s="10"/>
      <c r="G6" s="10"/>
      <c r="H6" s="10" t="str">
        <f aca="false">IF(AND(F6&lt;&gt;"",G6&lt;&gt;""),G6-F6,"")</f>
        <v/>
      </c>
      <c r="I6" s="9"/>
      <c r="J6" s="9"/>
      <c r="K6" s="9"/>
      <c r="L6" s="10"/>
    </row>
    <row r="7" customFormat="false" ht="15" hidden="false" customHeight="true" outlineLevel="0" collapsed="false">
      <c r="A7" s="11"/>
      <c r="B7" s="12"/>
      <c r="C7" s="12"/>
      <c r="D7" s="12"/>
      <c r="E7" s="11"/>
      <c r="F7" s="12"/>
      <c r="G7" s="12"/>
      <c r="H7" s="12" t="str">
        <f aca="false">IF(AND(F7&lt;&gt;"",G7&lt;&gt;""),G7-F7,"")</f>
        <v/>
      </c>
      <c r="I7" s="11"/>
      <c r="J7" s="11"/>
      <c r="K7" s="11"/>
      <c r="L7" s="12"/>
    </row>
    <row r="8" customFormat="false" ht="15" hidden="false" customHeight="true" outlineLevel="0" collapsed="false">
      <c r="A8" s="9"/>
      <c r="B8" s="10"/>
      <c r="C8" s="10"/>
      <c r="D8" s="10"/>
      <c r="E8" s="9"/>
      <c r="F8" s="10"/>
      <c r="G8" s="10"/>
      <c r="H8" s="10" t="str">
        <f aca="false">IF(AND(F8&lt;&gt;"",G8&lt;&gt;""),G8-F8,"")</f>
        <v/>
      </c>
      <c r="I8" s="9"/>
      <c r="J8" s="9"/>
      <c r="K8" s="9"/>
      <c r="L8" s="10"/>
    </row>
    <row r="9" customFormat="false" ht="15" hidden="false" customHeight="true" outlineLevel="0" collapsed="false">
      <c r="A9" s="11"/>
      <c r="B9" s="12"/>
      <c r="C9" s="12"/>
      <c r="D9" s="12"/>
      <c r="E9" s="11"/>
      <c r="F9" s="12"/>
      <c r="G9" s="12"/>
      <c r="H9" s="12" t="str">
        <f aca="false">IF(AND(F9&lt;&gt;"",G9&lt;&gt;""),G9-F9,"")</f>
        <v/>
      </c>
      <c r="I9" s="11"/>
      <c r="J9" s="11"/>
      <c r="K9" s="11"/>
      <c r="L9" s="12"/>
    </row>
    <row r="10" customFormat="false" ht="15" hidden="false" customHeight="true" outlineLevel="0" collapsed="false">
      <c r="A10" s="9"/>
      <c r="B10" s="10"/>
      <c r="C10" s="10"/>
      <c r="D10" s="10"/>
      <c r="E10" s="9"/>
      <c r="F10" s="10"/>
      <c r="G10" s="10"/>
      <c r="H10" s="10" t="str">
        <f aca="false">IF(AND(F10&lt;&gt;"",G10&lt;&gt;""),G10-F10,"")</f>
        <v/>
      </c>
      <c r="I10" s="9"/>
      <c r="J10" s="9"/>
      <c r="K10" s="9"/>
      <c r="L10" s="10"/>
    </row>
    <row r="11" customFormat="false" ht="15" hidden="false" customHeight="true" outlineLevel="0" collapsed="false">
      <c r="A11" s="11"/>
      <c r="B11" s="12"/>
      <c r="C11" s="12"/>
      <c r="D11" s="12"/>
      <c r="E11" s="11"/>
      <c r="F11" s="12"/>
      <c r="G11" s="12"/>
      <c r="H11" s="12" t="str">
        <f aca="false">IF(AND(F11&lt;&gt;"",G11&lt;&gt;""),G11-F11,"")</f>
        <v/>
      </c>
      <c r="I11" s="11"/>
      <c r="J11" s="11"/>
      <c r="K11" s="11"/>
      <c r="L11" s="12"/>
    </row>
    <row r="12" customFormat="false" ht="15" hidden="false" customHeight="true" outlineLevel="0" collapsed="false">
      <c r="A12" s="9"/>
      <c r="B12" s="10"/>
      <c r="C12" s="10"/>
      <c r="D12" s="10"/>
      <c r="E12" s="9"/>
      <c r="F12" s="10"/>
      <c r="G12" s="10"/>
      <c r="H12" s="10" t="str">
        <f aca="false">IF(AND(F12&lt;&gt;"",G12&lt;&gt;""),G12-F12,"")</f>
        <v/>
      </c>
      <c r="I12" s="9"/>
      <c r="J12" s="9"/>
      <c r="K12" s="9"/>
      <c r="L12" s="10"/>
    </row>
    <row r="13" customFormat="false" ht="15" hidden="false" customHeight="true" outlineLevel="0" collapsed="false">
      <c r="A13" s="11"/>
      <c r="B13" s="12"/>
      <c r="C13" s="12"/>
      <c r="D13" s="12"/>
      <c r="E13" s="11"/>
      <c r="F13" s="12"/>
      <c r="G13" s="12"/>
      <c r="H13" s="12" t="str">
        <f aca="false">IF(AND(F13&lt;&gt;"",G13&lt;&gt;""),G13-F13,"")</f>
        <v/>
      </c>
      <c r="I13" s="11"/>
      <c r="J13" s="11"/>
      <c r="K13" s="11"/>
      <c r="L13" s="12"/>
    </row>
    <row r="14" customFormat="false" ht="15" hidden="false" customHeight="true" outlineLevel="0" collapsed="false">
      <c r="A14" s="9"/>
      <c r="B14" s="10"/>
      <c r="C14" s="10"/>
      <c r="D14" s="10"/>
      <c r="E14" s="9"/>
      <c r="F14" s="10"/>
      <c r="G14" s="10"/>
      <c r="H14" s="10" t="str">
        <f aca="false">IF(AND(F14&lt;&gt;"",G14&lt;&gt;""),G14-F14,"")</f>
        <v/>
      </c>
      <c r="I14" s="9"/>
      <c r="J14" s="9"/>
      <c r="K14" s="9"/>
      <c r="L14" s="10"/>
    </row>
    <row r="15" customFormat="false" ht="15" hidden="false" customHeight="true" outlineLevel="0" collapsed="false">
      <c r="A15" s="11"/>
      <c r="B15" s="12"/>
      <c r="C15" s="12"/>
      <c r="D15" s="12"/>
      <c r="E15" s="11"/>
      <c r="F15" s="12"/>
      <c r="G15" s="12"/>
      <c r="H15" s="12" t="str">
        <f aca="false">IF(AND(F15&lt;&gt;"",G15&lt;&gt;""),G15-F15,"")</f>
        <v/>
      </c>
      <c r="I15" s="11"/>
      <c r="J15" s="11"/>
      <c r="K15" s="11"/>
      <c r="L15" s="12"/>
    </row>
    <row r="16" customFormat="false" ht="15" hidden="false" customHeight="true" outlineLevel="0" collapsed="false">
      <c r="A16" s="9"/>
      <c r="B16" s="10"/>
      <c r="C16" s="10"/>
      <c r="D16" s="10"/>
      <c r="E16" s="9"/>
      <c r="F16" s="10"/>
      <c r="G16" s="10"/>
      <c r="H16" s="10" t="str">
        <f aca="false">IF(AND(F16&lt;&gt;"",G16&lt;&gt;""),G16-F16,"")</f>
        <v/>
      </c>
      <c r="I16" s="9"/>
      <c r="J16" s="9"/>
      <c r="K16" s="9"/>
      <c r="L16" s="10"/>
    </row>
    <row r="17" customFormat="false" ht="15" hidden="false" customHeight="true" outlineLevel="0" collapsed="false">
      <c r="A17" s="11"/>
      <c r="B17" s="12"/>
      <c r="C17" s="12"/>
      <c r="D17" s="12"/>
      <c r="E17" s="11"/>
      <c r="F17" s="12"/>
      <c r="G17" s="12"/>
      <c r="H17" s="12" t="str">
        <f aca="false">IF(AND(F17&lt;&gt;"",G17&lt;&gt;""),G17-F17,"")</f>
        <v/>
      </c>
      <c r="I17" s="11"/>
      <c r="J17" s="11"/>
      <c r="K17" s="11"/>
      <c r="L17" s="12"/>
    </row>
    <row r="18" customFormat="false" ht="15" hidden="false" customHeight="true" outlineLevel="0" collapsed="false">
      <c r="A18" s="9"/>
      <c r="B18" s="10"/>
      <c r="C18" s="10"/>
      <c r="D18" s="10"/>
      <c r="E18" s="9"/>
      <c r="F18" s="10"/>
      <c r="G18" s="10"/>
      <c r="H18" s="10" t="str">
        <f aca="false">IF(AND(F18&lt;&gt;"",G18&lt;&gt;""),G18-F18,"")</f>
        <v/>
      </c>
      <c r="I18" s="9"/>
      <c r="J18" s="9"/>
      <c r="K18" s="9"/>
      <c r="L18" s="10"/>
    </row>
    <row r="19" customFormat="false" ht="15" hidden="false" customHeight="true" outlineLevel="0" collapsed="false">
      <c r="A19" s="11"/>
      <c r="B19" s="12"/>
      <c r="C19" s="12"/>
      <c r="D19" s="12"/>
      <c r="E19" s="11"/>
      <c r="F19" s="12"/>
      <c r="G19" s="12"/>
      <c r="H19" s="12" t="str">
        <f aca="false">IF(AND(F19&lt;&gt;"",G19&lt;&gt;""),G19-F19,"")</f>
        <v/>
      </c>
      <c r="I19" s="11"/>
      <c r="J19" s="11"/>
      <c r="K19" s="11"/>
      <c r="L19" s="12"/>
    </row>
    <row r="20" customFormat="false" ht="15" hidden="false" customHeight="true" outlineLevel="0" collapsed="false">
      <c r="A20" s="9"/>
      <c r="B20" s="10"/>
      <c r="C20" s="10"/>
      <c r="D20" s="10"/>
      <c r="E20" s="9"/>
      <c r="F20" s="10"/>
      <c r="G20" s="10"/>
      <c r="H20" s="10" t="str">
        <f aca="false">IF(AND(F20&lt;&gt;"",G20&lt;&gt;""),G20-F20,"")</f>
        <v/>
      </c>
      <c r="I20" s="9"/>
      <c r="J20" s="9"/>
      <c r="K20" s="9"/>
      <c r="L20" s="10"/>
    </row>
    <row r="21" customFormat="false" ht="15" hidden="false" customHeight="true" outlineLevel="0" collapsed="false">
      <c r="A21" s="11"/>
      <c r="B21" s="12"/>
      <c r="C21" s="12"/>
      <c r="D21" s="12"/>
      <c r="E21" s="11"/>
      <c r="F21" s="12"/>
      <c r="G21" s="12"/>
      <c r="H21" s="12" t="str">
        <f aca="false">IF(AND(F21&lt;&gt;"",G21&lt;&gt;""),G21-F21,"")</f>
        <v/>
      </c>
      <c r="I21" s="11"/>
      <c r="J21" s="11"/>
      <c r="K21" s="11"/>
      <c r="L21" s="12"/>
    </row>
    <row r="22" customFormat="false" ht="15" hidden="false" customHeight="true" outlineLevel="0" collapsed="false">
      <c r="A22" s="9"/>
      <c r="B22" s="10"/>
      <c r="C22" s="10"/>
      <c r="D22" s="10"/>
      <c r="E22" s="9"/>
      <c r="F22" s="10"/>
      <c r="G22" s="10"/>
      <c r="H22" s="10" t="str">
        <f aca="false">IF(AND(F22&lt;&gt;"",G22&lt;&gt;""),G22-F22,"")</f>
        <v/>
      </c>
      <c r="I22" s="9"/>
      <c r="J22" s="9"/>
      <c r="K22" s="9"/>
      <c r="L22" s="10"/>
    </row>
    <row r="23" customFormat="false" ht="15" hidden="false" customHeight="true" outlineLevel="0" collapsed="false">
      <c r="A23" s="11"/>
      <c r="B23" s="12"/>
      <c r="C23" s="12"/>
      <c r="D23" s="12"/>
      <c r="E23" s="11"/>
      <c r="F23" s="12"/>
      <c r="G23" s="12"/>
      <c r="H23" s="12" t="str">
        <f aca="false">IF(AND(F23&lt;&gt;"",G23&lt;&gt;""),G23-F23,"")</f>
        <v/>
      </c>
      <c r="I23" s="11"/>
      <c r="J23" s="11"/>
      <c r="K23" s="11"/>
      <c r="L23" s="12"/>
    </row>
    <row r="24" customFormat="false" ht="15" hidden="false" customHeight="true" outlineLevel="0" collapsed="false">
      <c r="A24" s="9"/>
      <c r="B24" s="10"/>
      <c r="C24" s="10"/>
      <c r="D24" s="10"/>
      <c r="E24" s="9"/>
      <c r="F24" s="10"/>
      <c r="G24" s="10"/>
      <c r="H24" s="10" t="str">
        <f aca="false">IF(AND(F24&lt;&gt;"",G24&lt;&gt;""),G24-F24,"")</f>
        <v/>
      </c>
      <c r="I24" s="9"/>
      <c r="J24" s="9"/>
      <c r="K24" s="9"/>
      <c r="L24" s="10"/>
    </row>
    <row r="25" customFormat="false" ht="15" hidden="false" customHeight="true" outlineLevel="0" collapsed="false">
      <c r="A25" s="11"/>
      <c r="B25" s="12"/>
      <c r="C25" s="12"/>
      <c r="D25" s="12"/>
      <c r="E25" s="11"/>
      <c r="F25" s="12"/>
      <c r="G25" s="12"/>
      <c r="H25" s="12" t="str">
        <f aca="false">IF(AND(F25&lt;&gt;"",G25&lt;&gt;""),G25-F25,"")</f>
        <v/>
      </c>
      <c r="I25" s="11"/>
      <c r="J25" s="11"/>
      <c r="K25" s="11"/>
      <c r="L25" s="12"/>
    </row>
    <row r="26" customFormat="false" ht="15" hidden="false" customHeight="true" outlineLevel="0" collapsed="false">
      <c r="A26" s="9"/>
      <c r="B26" s="10"/>
      <c r="C26" s="10"/>
      <c r="D26" s="10"/>
      <c r="E26" s="9"/>
      <c r="F26" s="10"/>
      <c r="G26" s="10"/>
      <c r="H26" s="10" t="str">
        <f aca="false">IF(AND(F26&lt;&gt;"",G26&lt;&gt;""),G26-F26,"")</f>
        <v/>
      </c>
      <c r="I26" s="9"/>
      <c r="J26" s="9"/>
      <c r="K26" s="9"/>
      <c r="L26" s="10"/>
    </row>
    <row r="27" customFormat="false" ht="15" hidden="false" customHeight="true" outlineLevel="0" collapsed="false">
      <c r="A27" s="11"/>
      <c r="B27" s="12"/>
      <c r="C27" s="12"/>
      <c r="D27" s="12"/>
      <c r="E27" s="11"/>
      <c r="F27" s="12"/>
      <c r="G27" s="12"/>
      <c r="H27" s="12" t="str">
        <f aca="false">IF(AND(F27&lt;&gt;"",G27&lt;&gt;""),G27-F27,"")</f>
        <v/>
      </c>
      <c r="I27" s="11"/>
      <c r="J27" s="11"/>
      <c r="K27" s="11"/>
      <c r="L27" s="12"/>
    </row>
    <row r="28" customFormat="false" ht="4.5" hidden="false" customHeight="true" outlineLevel="0" collapsed="false"/>
    <row r="29" customFormat="false" ht="21.75" hidden="false" customHeight="true" outlineLevel="0" collapsed="false">
      <c r="A29" s="5" t="s">
        <v>181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customFormat="false" ht="15.75" hidden="false" customHeight="true" outlineLevel="0" collapsed="false">
      <c r="A30" s="6" t="s">
        <v>182</v>
      </c>
      <c r="B30" s="6"/>
      <c r="C30" s="6"/>
      <c r="D30" s="6"/>
      <c r="E30" s="6"/>
      <c r="F30" s="6"/>
      <c r="G30" s="14" t="n">
        <f aca="false">COUNTA(A4:A27)</f>
        <v>0</v>
      </c>
    </row>
    <row r="31" customFormat="false" ht="15.75" hidden="false" customHeight="true" outlineLevel="0" collapsed="false">
      <c r="A31" s="6" t="s">
        <v>183</v>
      </c>
      <c r="B31" s="6"/>
      <c r="C31" s="6"/>
      <c r="D31" s="6"/>
      <c r="E31" s="6"/>
      <c r="F31" s="6"/>
      <c r="G31" s="14" t="n">
        <f aca="false">COUNTIF(L4:L27,"Complete")</f>
        <v>0</v>
      </c>
    </row>
    <row r="32" customFormat="false" ht="15.75" hidden="false" customHeight="true" outlineLevel="0" collapsed="false">
      <c r="A32" s="6" t="s">
        <v>184</v>
      </c>
      <c r="B32" s="6"/>
      <c r="C32" s="6"/>
      <c r="D32" s="6"/>
      <c r="E32" s="6"/>
      <c r="F32" s="6"/>
      <c r="G32" s="14" t="n">
        <f aca="false">COUNTIF(L4:L27,"Missed")</f>
        <v>0</v>
      </c>
    </row>
    <row r="33" customFormat="false" ht="15.75" hidden="false" customHeight="true" outlineLevel="0" collapsed="false">
      <c r="A33" s="6" t="s">
        <v>185</v>
      </c>
      <c r="B33" s="6"/>
      <c r="C33" s="6"/>
      <c r="D33" s="6"/>
      <c r="E33" s="6"/>
      <c r="F33" s="6"/>
      <c r="G33" s="14" t="n">
        <f aca="false">COUNTA(J4:J27)</f>
        <v>0</v>
      </c>
    </row>
    <row r="34" customFormat="false" ht="15.75" hidden="false" customHeight="true" outlineLevel="0" collapsed="false">
      <c r="A34" s="6" t="s">
        <v>186</v>
      </c>
      <c r="B34" s="6"/>
      <c r="C34" s="6"/>
      <c r="D34" s="6"/>
      <c r="E34" s="6"/>
      <c r="F34" s="6"/>
      <c r="G34" s="14" t="str">
        <f aca="false">IF(SUMPRODUCT((H4:H27&lt;&gt;"")*1)&gt;0,SUM(IF(ISNUMBER(H4:H27),H4:H27,0)),"")</f>
        <v/>
      </c>
    </row>
    <row r="35" customFormat="false" ht="4.5" hidden="false" customHeight="true" outlineLevel="0" collapsed="false"/>
    <row r="36" customFormat="false" ht="18" hidden="false" customHeight="true" outlineLevel="0" collapsed="false">
      <c r="A36" s="13" t="s">
        <v>70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</row>
  </sheetData>
  <mergeCells count="10">
    <mergeCell ref="A1:F1"/>
    <mergeCell ref="G1:L1"/>
    <mergeCell ref="A2:L2"/>
    <mergeCell ref="A29:L29"/>
    <mergeCell ref="A30:F30"/>
    <mergeCell ref="A31:F31"/>
    <mergeCell ref="A32:F32"/>
    <mergeCell ref="A33:F33"/>
    <mergeCell ref="A34:F34"/>
    <mergeCell ref="A36:L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8"/>
    <col collapsed="false" customWidth="true" hidden="false" outlineLevel="0" max="4" min="4" style="0" width="7"/>
    <col collapsed="false" customWidth="true" hidden="false" outlineLevel="0" max="5" min="5" style="0" width="14"/>
    <col collapsed="false" customWidth="true" hidden="false" outlineLevel="0" max="6" min="6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</row>
    <row r="2" customFormat="false" ht="21.75" hidden="false" customHeight="true" outlineLevel="0" collapsed="false">
      <c r="A2" s="5" t="s">
        <v>187</v>
      </c>
      <c r="B2" s="5"/>
      <c r="C2" s="5"/>
      <c r="D2" s="5"/>
      <c r="E2" s="5"/>
      <c r="F2" s="5"/>
      <c r="G2" s="5"/>
      <c r="H2" s="5"/>
      <c r="I2" s="5"/>
      <c r="J2" s="5"/>
    </row>
    <row r="3" customFormat="false" ht="15" hidden="false" customHeight="true" outlineLevel="0" collapsed="false">
      <c r="A3" s="6" t="s">
        <v>188</v>
      </c>
      <c r="B3" s="6"/>
      <c r="C3" s="6"/>
      <c r="D3" s="7"/>
      <c r="E3" s="6" t="s">
        <v>189</v>
      </c>
      <c r="F3" s="6"/>
      <c r="G3" s="6"/>
      <c r="H3" s="7"/>
      <c r="I3" s="6" t="s">
        <v>190</v>
      </c>
      <c r="J3" s="6"/>
    </row>
    <row r="4" customFormat="false" ht="15" hidden="false" customHeight="true" outlineLevel="0" collapsed="false">
      <c r="A4" s="6" t="s">
        <v>191</v>
      </c>
      <c r="B4" s="6"/>
      <c r="C4" s="6"/>
      <c r="D4" s="7"/>
      <c r="E4" s="6" t="s">
        <v>192</v>
      </c>
      <c r="F4" s="6"/>
      <c r="G4" s="6"/>
      <c r="H4" s="7"/>
      <c r="I4" s="6" t="s">
        <v>193</v>
      </c>
      <c r="J4" s="6"/>
    </row>
    <row r="5" customFormat="false" ht="15" hidden="false" customHeight="true" outlineLevel="0" collapsed="false">
      <c r="A5" s="6" t="s">
        <v>194</v>
      </c>
      <c r="B5" s="6"/>
      <c r="C5" s="6"/>
      <c r="D5" s="7"/>
      <c r="E5" s="6" t="s">
        <v>195</v>
      </c>
      <c r="F5" s="6"/>
      <c r="G5" s="6"/>
      <c r="H5" s="7"/>
      <c r="I5" s="6" t="s">
        <v>196</v>
      </c>
      <c r="J5" s="6"/>
    </row>
    <row r="6" customFormat="false" ht="4.5" hidden="false" customHeight="true" outlineLevel="0" collapsed="false"/>
    <row r="7" customFormat="false" ht="18" hidden="false" customHeight="true" outlineLevel="0" collapsed="false">
      <c r="A7" s="8" t="s">
        <v>197</v>
      </c>
      <c r="B7" s="8" t="s">
        <v>198</v>
      </c>
      <c r="C7" s="8" t="s">
        <v>199</v>
      </c>
      <c r="D7" s="8" t="s">
        <v>200</v>
      </c>
      <c r="E7" s="8" t="s">
        <v>201</v>
      </c>
      <c r="F7" s="8" t="s">
        <v>202</v>
      </c>
    </row>
    <row r="8" customFormat="false" ht="16.5" hidden="false" customHeight="true" outlineLevel="0" collapsed="false">
      <c r="A8" s="18" t="s">
        <v>203</v>
      </c>
      <c r="B8" s="18"/>
      <c r="C8" s="18"/>
      <c r="D8" s="18"/>
      <c r="E8" s="18"/>
      <c r="F8" s="18"/>
      <c r="G8" s="18"/>
      <c r="H8" s="18"/>
      <c r="I8" s="18"/>
      <c r="J8" s="18"/>
    </row>
    <row r="9" customFormat="false" ht="15" hidden="false" customHeight="true" outlineLevel="0" collapsed="false">
      <c r="A9" s="11" t="s">
        <v>204</v>
      </c>
      <c r="B9" s="19" t="s">
        <v>205</v>
      </c>
      <c r="C9" s="19" t="s">
        <v>205</v>
      </c>
      <c r="D9" s="19" t="s">
        <v>205</v>
      </c>
      <c r="E9" s="12"/>
      <c r="F9" s="11"/>
    </row>
    <row r="10" customFormat="false" ht="15" hidden="false" customHeight="true" outlineLevel="0" collapsed="false">
      <c r="A10" s="9" t="s">
        <v>206</v>
      </c>
      <c r="B10" s="19" t="s">
        <v>205</v>
      </c>
      <c r="C10" s="19" t="s">
        <v>205</v>
      </c>
      <c r="D10" s="19" t="s">
        <v>205</v>
      </c>
      <c r="E10" s="10"/>
      <c r="F10" s="9"/>
    </row>
    <row r="11" customFormat="false" ht="15" hidden="false" customHeight="true" outlineLevel="0" collapsed="false">
      <c r="A11" s="11" t="s">
        <v>207</v>
      </c>
      <c r="B11" s="19" t="s">
        <v>205</v>
      </c>
      <c r="C11" s="19" t="s">
        <v>205</v>
      </c>
      <c r="D11" s="19" t="s">
        <v>205</v>
      </c>
      <c r="E11" s="12"/>
      <c r="F11" s="11"/>
    </row>
    <row r="12" customFormat="false" ht="15" hidden="false" customHeight="true" outlineLevel="0" collapsed="false">
      <c r="A12" s="9" t="s">
        <v>208</v>
      </c>
      <c r="B12" s="19" t="s">
        <v>205</v>
      </c>
      <c r="C12" s="19" t="s">
        <v>205</v>
      </c>
      <c r="D12" s="19" t="s">
        <v>205</v>
      </c>
      <c r="E12" s="10"/>
      <c r="F12" s="9"/>
    </row>
    <row r="13" customFormat="false" ht="15" hidden="false" customHeight="true" outlineLevel="0" collapsed="false">
      <c r="A13" s="11" t="s">
        <v>209</v>
      </c>
      <c r="B13" s="19" t="s">
        <v>205</v>
      </c>
      <c r="C13" s="19" t="s">
        <v>205</v>
      </c>
      <c r="D13" s="19" t="s">
        <v>205</v>
      </c>
      <c r="E13" s="12"/>
      <c r="F13" s="11"/>
    </row>
    <row r="14" customFormat="false" ht="15" hidden="false" customHeight="true" outlineLevel="0" collapsed="false">
      <c r="A14" s="9" t="s">
        <v>210</v>
      </c>
      <c r="B14" s="19" t="s">
        <v>205</v>
      </c>
      <c r="C14" s="19" t="s">
        <v>205</v>
      </c>
      <c r="D14" s="19" t="s">
        <v>205</v>
      </c>
      <c r="E14" s="10"/>
      <c r="F14" s="9"/>
    </row>
    <row r="15" customFormat="false" ht="15" hidden="false" customHeight="true" outlineLevel="0" collapsed="false">
      <c r="A15" s="11" t="s">
        <v>211</v>
      </c>
      <c r="B15" s="19" t="s">
        <v>205</v>
      </c>
      <c r="C15" s="19" t="s">
        <v>205</v>
      </c>
      <c r="D15" s="19" t="s">
        <v>205</v>
      </c>
      <c r="E15" s="12"/>
      <c r="F15" s="11"/>
    </row>
    <row r="16" customFormat="false" ht="3.75" hidden="false" customHeight="true" outlineLevel="0" collapsed="false"/>
    <row r="17" customFormat="false" ht="16.5" hidden="false" customHeight="true" outlineLevel="0" collapsed="false">
      <c r="A17" s="18" t="s">
        <v>212</v>
      </c>
      <c r="B17" s="18"/>
      <c r="C17" s="18"/>
      <c r="D17" s="18"/>
      <c r="E17" s="18"/>
      <c r="F17" s="18"/>
      <c r="G17" s="18"/>
      <c r="H17" s="18"/>
      <c r="I17" s="18"/>
      <c r="J17" s="18"/>
    </row>
    <row r="18" customFormat="false" ht="15" hidden="false" customHeight="true" outlineLevel="0" collapsed="false">
      <c r="A18" s="11" t="s">
        <v>213</v>
      </c>
      <c r="B18" s="19" t="s">
        <v>205</v>
      </c>
      <c r="C18" s="19" t="s">
        <v>205</v>
      </c>
      <c r="D18" s="19" t="s">
        <v>205</v>
      </c>
      <c r="E18" s="12"/>
      <c r="F18" s="11"/>
    </row>
    <row r="19" customFormat="false" ht="15" hidden="false" customHeight="true" outlineLevel="0" collapsed="false">
      <c r="A19" s="9" t="s">
        <v>214</v>
      </c>
      <c r="B19" s="19" t="s">
        <v>205</v>
      </c>
      <c r="C19" s="19" t="s">
        <v>205</v>
      </c>
      <c r="D19" s="19" t="s">
        <v>205</v>
      </c>
      <c r="E19" s="10"/>
      <c r="F19" s="9"/>
    </row>
    <row r="20" customFormat="false" ht="15" hidden="false" customHeight="true" outlineLevel="0" collapsed="false">
      <c r="A20" s="11" t="s">
        <v>215</v>
      </c>
      <c r="B20" s="19" t="s">
        <v>205</v>
      </c>
      <c r="C20" s="19" t="s">
        <v>205</v>
      </c>
      <c r="D20" s="19" t="s">
        <v>205</v>
      </c>
      <c r="E20" s="12"/>
      <c r="F20" s="11"/>
    </row>
    <row r="21" customFormat="false" ht="15" hidden="false" customHeight="true" outlineLevel="0" collapsed="false">
      <c r="A21" s="9" t="s">
        <v>216</v>
      </c>
      <c r="B21" s="19" t="s">
        <v>205</v>
      </c>
      <c r="C21" s="19" t="s">
        <v>205</v>
      </c>
      <c r="D21" s="19" t="s">
        <v>205</v>
      </c>
      <c r="E21" s="10"/>
      <c r="F21" s="9"/>
    </row>
    <row r="22" customFormat="false" ht="15" hidden="false" customHeight="true" outlineLevel="0" collapsed="false">
      <c r="A22" s="11" t="s">
        <v>217</v>
      </c>
      <c r="B22" s="19" t="s">
        <v>205</v>
      </c>
      <c r="C22" s="19" t="s">
        <v>205</v>
      </c>
      <c r="D22" s="19" t="s">
        <v>205</v>
      </c>
      <c r="E22" s="12"/>
      <c r="F22" s="11"/>
    </row>
    <row r="23" customFormat="false" ht="15" hidden="false" customHeight="true" outlineLevel="0" collapsed="false">
      <c r="A23" s="9" t="s">
        <v>218</v>
      </c>
      <c r="B23" s="19" t="s">
        <v>205</v>
      </c>
      <c r="C23" s="19" t="s">
        <v>205</v>
      </c>
      <c r="D23" s="19" t="s">
        <v>205</v>
      </c>
      <c r="E23" s="10"/>
      <c r="F23" s="9"/>
    </row>
    <row r="24" customFormat="false" ht="15" hidden="false" customHeight="true" outlineLevel="0" collapsed="false">
      <c r="A24" s="11" t="s">
        <v>219</v>
      </c>
      <c r="B24" s="19" t="s">
        <v>205</v>
      </c>
      <c r="C24" s="19" t="s">
        <v>205</v>
      </c>
      <c r="D24" s="19" t="s">
        <v>205</v>
      </c>
      <c r="E24" s="12"/>
      <c r="F24" s="11"/>
    </row>
    <row r="25" customFormat="false" ht="15" hidden="false" customHeight="true" outlineLevel="0" collapsed="false">
      <c r="A25" s="9" t="s">
        <v>220</v>
      </c>
      <c r="B25" s="19" t="s">
        <v>205</v>
      </c>
      <c r="C25" s="19" t="s">
        <v>205</v>
      </c>
      <c r="D25" s="19" t="s">
        <v>205</v>
      </c>
      <c r="E25" s="10"/>
      <c r="F25" s="9"/>
    </row>
    <row r="26" customFormat="false" ht="15" hidden="false" customHeight="true" outlineLevel="0" collapsed="false">
      <c r="A26" s="11" t="s">
        <v>221</v>
      </c>
      <c r="B26" s="19" t="s">
        <v>205</v>
      </c>
      <c r="C26" s="19" t="s">
        <v>205</v>
      </c>
      <c r="D26" s="19" t="s">
        <v>205</v>
      </c>
      <c r="E26" s="12"/>
      <c r="F26" s="11"/>
    </row>
    <row r="27" customFormat="false" ht="3.75" hidden="false" customHeight="true" outlineLevel="0" collapsed="false"/>
    <row r="28" customFormat="false" ht="16.5" hidden="false" customHeight="true" outlineLevel="0" collapsed="false">
      <c r="A28" s="18" t="s">
        <v>222</v>
      </c>
      <c r="B28" s="18"/>
      <c r="C28" s="18"/>
      <c r="D28" s="18"/>
      <c r="E28" s="18"/>
      <c r="F28" s="18"/>
      <c r="G28" s="18"/>
      <c r="H28" s="18"/>
      <c r="I28" s="18"/>
      <c r="J28" s="18"/>
    </row>
    <row r="29" customFormat="false" ht="15" hidden="false" customHeight="true" outlineLevel="0" collapsed="false">
      <c r="A29" s="11" t="s">
        <v>223</v>
      </c>
      <c r="B29" s="19" t="s">
        <v>205</v>
      </c>
      <c r="C29" s="19" t="s">
        <v>205</v>
      </c>
      <c r="D29" s="19" t="s">
        <v>205</v>
      </c>
      <c r="E29" s="12"/>
      <c r="F29" s="11"/>
    </row>
    <row r="30" customFormat="false" ht="15" hidden="false" customHeight="true" outlineLevel="0" collapsed="false">
      <c r="A30" s="9" t="s">
        <v>224</v>
      </c>
      <c r="B30" s="19" t="s">
        <v>205</v>
      </c>
      <c r="C30" s="19" t="s">
        <v>205</v>
      </c>
      <c r="D30" s="19" t="s">
        <v>205</v>
      </c>
      <c r="E30" s="10"/>
      <c r="F30" s="9"/>
    </row>
    <row r="31" customFormat="false" ht="15" hidden="false" customHeight="true" outlineLevel="0" collapsed="false">
      <c r="A31" s="11" t="s">
        <v>225</v>
      </c>
      <c r="B31" s="19" t="s">
        <v>205</v>
      </c>
      <c r="C31" s="19" t="s">
        <v>205</v>
      </c>
      <c r="D31" s="19" t="s">
        <v>205</v>
      </c>
      <c r="E31" s="12"/>
      <c r="F31" s="11"/>
    </row>
    <row r="32" customFormat="false" ht="15" hidden="false" customHeight="true" outlineLevel="0" collapsed="false">
      <c r="A32" s="9" t="s">
        <v>226</v>
      </c>
      <c r="B32" s="19" t="s">
        <v>205</v>
      </c>
      <c r="C32" s="19" t="s">
        <v>205</v>
      </c>
      <c r="D32" s="19" t="s">
        <v>205</v>
      </c>
      <c r="E32" s="10"/>
      <c r="F32" s="9"/>
    </row>
    <row r="33" customFormat="false" ht="15" hidden="false" customHeight="true" outlineLevel="0" collapsed="false">
      <c r="A33" s="11" t="s">
        <v>227</v>
      </c>
      <c r="B33" s="19" t="s">
        <v>205</v>
      </c>
      <c r="C33" s="19" t="s">
        <v>205</v>
      </c>
      <c r="D33" s="19" t="s">
        <v>205</v>
      </c>
      <c r="E33" s="12"/>
      <c r="F33" s="11"/>
    </row>
    <row r="34" customFormat="false" ht="15" hidden="false" customHeight="true" outlineLevel="0" collapsed="false">
      <c r="A34" s="9" t="s">
        <v>228</v>
      </c>
      <c r="B34" s="19" t="s">
        <v>205</v>
      </c>
      <c r="C34" s="19" t="s">
        <v>205</v>
      </c>
      <c r="D34" s="19" t="s">
        <v>205</v>
      </c>
      <c r="E34" s="10"/>
      <c r="F34" s="9"/>
    </row>
    <row r="35" customFormat="false" ht="3.75" hidden="false" customHeight="true" outlineLevel="0" collapsed="false"/>
    <row r="36" customFormat="false" ht="16.5" hidden="false" customHeight="true" outlineLevel="0" collapsed="false">
      <c r="A36" s="18" t="s">
        <v>229</v>
      </c>
      <c r="B36" s="18"/>
      <c r="C36" s="18"/>
      <c r="D36" s="18"/>
      <c r="E36" s="18"/>
      <c r="F36" s="18"/>
      <c r="G36" s="18"/>
      <c r="H36" s="18"/>
      <c r="I36" s="18"/>
      <c r="J36" s="18"/>
    </row>
    <row r="37" customFormat="false" ht="15" hidden="false" customHeight="true" outlineLevel="0" collapsed="false">
      <c r="A37" s="11" t="s">
        <v>230</v>
      </c>
      <c r="B37" s="19" t="s">
        <v>205</v>
      </c>
      <c r="C37" s="19" t="s">
        <v>205</v>
      </c>
      <c r="D37" s="19" t="s">
        <v>205</v>
      </c>
      <c r="E37" s="12"/>
      <c r="F37" s="11"/>
    </row>
    <row r="38" customFormat="false" ht="15" hidden="false" customHeight="true" outlineLevel="0" collapsed="false">
      <c r="A38" s="9" t="s">
        <v>231</v>
      </c>
      <c r="B38" s="19" t="s">
        <v>205</v>
      </c>
      <c r="C38" s="19" t="s">
        <v>205</v>
      </c>
      <c r="D38" s="19" t="s">
        <v>205</v>
      </c>
      <c r="E38" s="10"/>
      <c r="F38" s="9"/>
    </row>
    <row r="39" customFormat="false" ht="15" hidden="false" customHeight="true" outlineLevel="0" collapsed="false">
      <c r="A39" s="11" t="s">
        <v>232</v>
      </c>
      <c r="B39" s="19" t="s">
        <v>205</v>
      </c>
      <c r="C39" s="19" t="s">
        <v>205</v>
      </c>
      <c r="D39" s="19" t="s">
        <v>205</v>
      </c>
      <c r="E39" s="12"/>
      <c r="F39" s="11"/>
    </row>
    <row r="40" customFormat="false" ht="15" hidden="false" customHeight="true" outlineLevel="0" collapsed="false">
      <c r="A40" s="9" t="s">
        <v>233</v>
      </c>
      <c r="B40" s="19" t="s">
        <v>205</v>
      </c>
      <c r="C40" s="19" t="s">
        <v>205</v>
      </c>
      <c r="D40" s="19" t="s">
        <v>205</v>
      </c>
      <c r="E40" s="10"/>
      <c r="F40" s="9"/>
    </row>
    <row r="41" customFormat="false" ht="15" hidden="false" customHeight="true" outlineLevel="0" collapsed="false">
      <c r="A41" s="11" t="s">
        <v>234</v>
      </c>
      <c r="B41" s="19" t="s">
        <v>205</v>
      </c>
      <c r="C41" s="19" t="s">
        <v>205</v>
      </c>
      <c r="D41" s="19" t="s">
        <v>205</v>
      </c>
      <c r="E41" s="12"/>
      <c r="F41" s="11"/>
    </row>
    <row r="42" customFormat="false" ht="15" hidden="false" customHeight="true" outlineLevel="0" collapsed="false">
      <c r="A42" s="9" t="s">
        <v>235</v>
      </c>
      <c r="B42" s="19" t="s">
        <v>205</v>
      </c>
      <c r="C42" s="19" t="s">
        <v>205</v>
      </c>
      <c r="D42" s="19" t="s">
        <v>205</v>
      </c>
      <c r="E42" s="10"/>
      <c r="F42" s="9"/>
    </row>
    <row r="43" customFormat="false" ht="15" hidden="false" customHeight="true" outlineLevel="0" collapsed="false">
      <c r="A43" s="11" t="s">
        <v>236</v>
      </c>
      <c r="B43" s="19" t="s">
        <v>205</v>
      </c>
      <c r="C43" s="19" t="s">
        <v>205</v>
      </c>
      <c r="D43" s="19" t="s">
        <v>205</v>
      </c>
      <c r="E43" s="12"/>
      <c r="F43" s="11"/>
    </row>
    <row r="44" customFormat="false" ht="15" hidden="false" customHeight="true" outlineLevel="0" collapsed="false">
      <c r="A44" s="9" t="s">
        <v>237</v>
      </c>
      <c r="B44" s="19" t="s">
        <v>205</v>
      </c>
      <c r="C44" s="19" t="s">
        <v>205</v>
      </c>
      <c r="D44" s="19" t="s">
        <v>205</v>
      </c>
      <c r="E44" s="10"/>
      <c r="F44" s="9"/>
    </row>
    <row r="45" customFormat="false" ht="3.75" hidden="false" customHeight="true" outlineLevel="0" collapsed="false"/>
    <row r="46" customFormat="false" ht="16.5" hidden="false" customHeight="true" outlineLevel="0" collapsed="false">
      <c r="A46" s="18" t="s">
        <v>238</v>
      </c>
      <c r="B46" s="18"/>
      <c r="C46" s="18"/>
      <c r="D46" s="18"/>
      <c r="E46" s="18"/>
      <c r="F46" s="18"/>
      <c r="G46" s="18"/>
      <c r="H46" s="18"/>
      <c r="I46" s="18"/>
      <c r="J46" s="18"/>
    </row>
    <row r="47" customFormat="false" ht="15" hidden="false" customHeight="true" outlineLevel="0" collapsed="false">
      <c r="A47" s="11" t="s">
        <v>239</v>
      </c>
      <c r="B47" s="19" t="s">
        <v>205</v>
      </c>
      <c r="C47" s="19" t="s">
        <v>205</v>
      </c>
      <c r="D47" s="19" t="s">
        <v>205</v>
      </c>
      <c r="E47" s="12"/>
      <c r="F47" s="11"/>
    </row>
    <row r="48" customFormat="false" ht="15" hidden="false" customHeight="true" outlineLevel="0" collapsed="false">
      <c r="A48" s="9" t="s">
        <v>240</v>
      </c>
      <c r="B48" s="19" t="s">
        <v>205</v>
      </c>
      <c r="C48" s="19" t="s">
        <v>205</v>
      </c>
      <c r="D48" s="19" t="s">
        <v>205</v>
      </c>
      <c r="E48" s="10"/>
      <c r="F48" s="9"/>
    </row>
    <row r="49" customFormat="false" ht="15" hidden="false" customHeight="true" outlineLevel="0" collapsed="false">
      <c r="A49" s="11" t="s">
        <v>241</v>
      </c>
      <c r="B49" s="19" t="s">
        <v>205</v>
      </c>
      <c r="C49" s="19" t="s">
        <v>205</v>
      </c>
      <c r="D49" s="19" t="s">
        <v>205</v>
      </c>
      <c r="E49" s="12"/>
      <c r="F49" s="11"/>
    </row>
    <row r="50" customFormat="false" ht="15" hidden="false" customHeight="true" outlineLevel="0" collapsed="false">
      <c r="A50" s="9" t="s">
        <v>242</v>
      </c>
      <c r="B50" s="19" t="s">
        <v>205</v>
      </c>
      <c r="C50" s="19" t="s">
        <v>205</v>
      </c>
      <c r="D50" s="19" t="s">
        <v>205</v>
      </c>
      <c r="E50" s="10"/>
      <c r="F50" s="9"/>
    </row>
    <row r="51" customFormat="false" ht="15" hidden="false" customHeight="true" outlineLevel="0" collapsed="false">
      <c r="A51" s="11" t="s">
        <v>243</v>
      </c>
      <c r="B51" s="19" t="s">
        <v>205</v>
      </c>
      <c r="C51" s="19" t="s">
        <v>205</v>
      </c>
      <c r="D51" s="19" t="s">
        <v>205</v>
      </c>
      <c r="E51" s="12"/>
      <c r="F51" s="11"/>
    </row>
    <row r="52" customFormat="false" ht="3.75" hidden="false" customHeight="true" outlineLevel="0" collapsed="false"/>
    <row r="53" customFormat="false" ht="16.5" hidden="false" customHeight="true" outlineLevel="0" collapsed="false">
      <c r="A53" s="18" t="s">
        <v>244</v>
      </c>
      <c r="B53" s="18"/>
      <c r="C53" s="18"/>
      <c r="D53" s="18"/>
      <c r="E53" s="18"/>
      <c r="F53" s="18"/>
      <c r="G53" s="18"/>
      <c r="H53" s="18"/>
      <c r="I53" s="18"/>
      <c r="J53" s="18"/>
    </row>
    <row r="54" customFormat="false" ht="15" hidden="false" customHeight="true" outlineLevel="0" collapsed="false">
      <c r="A54" s="11" t="s">
        <v>245</v>
      </c>
      <c r="B54" s="19" t="s">
        <v>205</v>
      </c>
      <c r="C54" s="19" t="s">
        <v>205</v>
      </c>
      <c r="D54" s="19" t="s">
        <v>205</v>
      </c>
      <c r="E54" s="12"/>
      <c r="F54" s="11"/>
    </row>
    <row r="55" customFormat="false" ht="15" hidden="false" customHeight="true" outlineLevel="0" collapsed="false">
      <c r="A55" s="9" t="s">
        <v>246</v>
      </c>
      <c r="B55" s="19" t="s">
        <v>205</v>
      </c>
      <c r="C55" s="19" t="s">
        <v>205</v>
      </c>
      <c r="D55" s="19" t="s">
        <v>205</v>
      </c>
      <c r="E55" s="10"/>
      <c r="F55" s="9"/>
    </row>
    <row r="56" customFormat="false" ht="15" hidden="false" customHeight="true" outlineLevel="0" collapsed="false">
      <c r="A56" s="11" t="s">
        <v>247</v>
      </c>
      <c r="B56" s="19" t="s">
        <v>205</v>
      </c>
      <c r="C56" s="19" t="s">
        <v>205</v>
      </c>
      <c r="D56" s="19" t="s">
        <v>205</v>
      </c>
      <c r="E56" s="12"/>
      <c r="F56" s="11"/>
    </row>
    <row r="57" customFormat="false" ht="15" hidden="false" customHeight="true" outlineLevel="0" collapsed="false">
      <c r="A57" s="9" t="s">
        <v>248</v>
      </c>
      <c r="B57" s="19" t="s">
        <v>205</v>
      </c>
      <c r="C57" s="19" t="s">
        <v>205</v>
      </c>
      <c r="D57" s="19" t="s">
        <v>205</v>
      </c>
      <c r="E57" s="10"/>
      <c r="F57" s="9"/>
    </row>
    <row r="58" customFormat="false" ht="15" hidden="false" customHeight="true" outlineLevel="0" collapsed="false">
      <c r="A58" s="11" t="s">
        <v>249</v>
      </c>
      <c r="B58" s="19" t="s">
        <v>205</v>
      </c>
      <c r="C58" s="19" t="s">
        <v>205</v>
      </c>
      <c r="D58" s="19" t="s">
        <v>205</v>
      </c>
      <c r="E58" s="12"/>
      <c r="F58" s="11"/>
    </row>
    <row r="59" customFormat="false" ht="15" hidden="false" customHeight="true" outlineLevel="0" collapsed="false">
      <c r="A59" s="9" t="s">
        <v>250</v>
      </c>
      <c r="B59" s="19" t="s">
        <v>205</v>
      </c>
      <c r="C59" s="19" t="s">
        <v>205</v>
      </c>
      <c r="D59" s="19" t="s">
        <v>205</v>
      </c>
      <c r="E59" s="10"/>
      <c r="F59" s="9"/>
    </row>
    <row r="60" customFormat="false" ht="15" hidden="false" customHeight="true" outlineLevel="0" collapsed="false">
      <c r="A60" s="11" t="s">
        <v>251</v>
      </c>
      <c r="B60" s="19" t="s">
        <v>205</v>
      </c>
      <c r="C60" s="19" t="s">
        <v>205</v>
      </c>
      <c r="D60" s="19" t="s">
        <v>205</v>
      </c>
      <c r="E60" s="12"/>
      <c r="F60" s="11"/>
    </row>
    <row r="61" customFormat="false" ht="15" hidden="false" customHeight="true" outlineLevel="0" collapsed="false">
      <c r="A61" s="9" t="s">
        <v>252</v>
      </c>
      <c r="B61" s="19" t="s">
        <v>205</v>
      </c>
      <c r="C61" s="19" t="s">
        <v>205</v>
      </c>
      <c r="D61" s="19" t="s">
        <v>205</v>
      </c>
      <c r="E61" s="10"/>
      <c r="F61" s="9"/>
    </row>
    <row r="62" customFormat="false" ht="3.75" hidden="false" customHeight="true" outlineLevel="0" collapsed="false"/>
    <row r="63" customFormat="false" ht="16.5" hidden="false" customHeight="true" outlineLevel="0" collapsed="false">
      <c r="A63" s="18" t="s">
        <v>253</v>
      </c>
      <c r="B63" s="18"/>
      <c r="C63" s="18"/>
      <c r="D63" s="18"/>
      <c r="E63" s="18"/>
      <c r="F63" s="18"/>
      <c r="G63" s="18"/>
      <c r="H63" s="18"/>
      <c r="I63" s="18"/>
      <c r="J63" s="18"/>
    </row>
    <row r="64" customFormat="false" ht="15" hidden="false" customHeight="true" outlineLevel="0" collapsed="false">
      <c r="A64" s="11" t="s">
        <v>254</v>
      </c>
      <c r="B64" s="19" t="s">
        <v>205</v>
      </c>
      <c r="C64" s="19" t="s">
        <v>205</v>
      </c>
      <c r="D64" s="19" t="s">
        <v>205</v>
      </c>
      <c r="E64" s="12"/>
      <c r="F64" s="11"/>
    </row>
    <row r="65" customFormat="false" ht="15" hidden="false" customHeight="true" outlineLevel="0" collapsed="false">
      <c r="A65" s="9" t="s">
        <v>255</v>
      </c>
      <c r="B65" s="19" t="s">
        <v>205</v>
      </c>
      <c r="C65" s="19" t="s">
        <v>205</v>
      </c>
      <c r="D65" s="19" t="s">
        <v>205</v>
      </c>
      <c r="E65" s="10"/>
      <c r="F65" s="9"/>
    </row>
    <row r="66" customFormat="false" ht="15" hidden="false" customHeight="true" outlineLevel="0" collapsed="false">
      <c r="A66" s="11" t="s">
        <v>256</v>
      </c>
      <c r="B66" s="19" t="s">
        <v>205</v>
      </c>
      <c r="C66" s="19" t="s">
        <v>205</v>
      </c>
      <c r="D66" s="19" t="s">
        <v>205</v>
      </c>
      <c r="E66" s="12"/>
      <c r="F66" s="11"/>
    </row>
    <row r="67" customFormat="false" ht="15" hidden="false" customHeight="true" outlineLevel="0" collapsed="false">
      <c r="A67" s="9" t="s">
        <v>257</v>
      </c>
      <c r="B67" s="19" t="s">
        <v>205</v>
      </c>
      <c r="C67" s="19" t="s">
        <v>205</v>
      </c>
      <c r="D67" s="19" t="s">
        <v>205</v>
      </c>
      <c r="E67" s="10"/>
      <c r="F67" s="9"/>
    </row>
    <row r="68" customFormat="false" ht="15" hidden="false" customHeight="true" outlineLevel="0" collapsed="false">
      <c r="A68" s="11" t="s">
        <v>258</v>
      </c>
      <c r="B68" s="19" t="s">
        <v>205</v>
      </c>
      <c r="C68" s="19" t="s">
        <v>205</v>
      </c>
      <c r="D68" s="19" t="s">
        <v>205</v>
      </c>
      <c r="E68" s="12"/>
      <c r="F68" s="11"/>
    </row>
    <row r="69" customFormat="false" ht="15" hidden="false" customHeight="true" outlineLevel="0" collapsed="false">
      <c r="A69" s="9" t="s">
        <v>259</v>
      </c>
      <c r="B69" s="19" t="s">
        <v>205</v>
      </c>
      <c r="C69" s="19" t="s">
        <v>205</v>
      </c>
      <c r="D69" s="19" t="s">
        <v>205</v>
      </c>
      <c r="E69" s="10"/>
      <c r="F69" s="9"/>
    </row>
    <row r="70" customFormat="false" ht="15" hidden="false" customHeight="true" outlineLevel="0" collapsed="false">
      <c r="A70" s="11" t="s">
        <v>260</v>
      </c>
      <c r="B70" s="19" t="s">
        <v>205</v>
      </c>
      <c r="C70" s="19" t="s">
        <v>205</v>
      </c>
      <c r="D70" s="19" t="s">
        <v>205</v>
      </c>
      <c r="E70" s="12"/>
      <c r="F70" s="11"/>
    </row>
    <row r="71" customFormat="false" ht="15" hidden="false" customHeight="true" outlineLevel="0" collapsed="false">
      <c r="A71" s="9" t="s">
        <v>261</v>
      </c>
      <c r="B71" s="19" t="s">
        <v>205</v>
      </c>
      <c r="C71" s="19" t="s">
        <v>205</v>
      </c>
      <c r="D71" s="19" t="s">
        <v>205</v>
      </c>
      <c r="E71" s="10"/>
      <c r="F71" s="9"/>
    </row>
    <row r="72" customFormat="false" ht="3.75" hidden="false" customHeight="true" outlineLevel="0" collapsed="false"/>
    <row r="73" customFormat="false" ht="16.5" hidden="false" customHeight="true" outlineLevel="0" collapsed="false">
      <c r="A73" s="18" t="s">
        <v>262</v>
      </c>
      <c r="B73" s="18"/>
      <c r="C73" s="18"/>
      <c r="D73" s="18"/>
      <c r="E73" s="18"/>
      <c r="F73" s="18"/>
      <c r="G73" s="18"/>
      <c r="H73" s="18"/>
      <c r="I73" s="18"/>
      <c r="J73" s="18"/>
    </row>
    <row r="74" customFormat="false" ht="18" hidden="false" customHeight="true" outlineLevel="0" collapsed="false">
      <c r="A74" s="6" t="s">
        <v>263</v>
      </c>
      <c r="B74" s="6"/>
      <c r="C74" s="6"/>
      <c r="D74" s="6"/>
      <c r="E74" s="20"/>
      <c r="F74" s="20"/>
      <c r="G74" s="20"/>
      <c r="H74" s="20"/>
      <c r="I74" s="20"/>
      <c r="J74" s="20"/>
    </row>
    <row r="75" customFormat="false" ht="18" hidden="false" customHeight="true" outlineLevel="0" collapsed="false">
      <c r="A75" s="6" t="s">
        <v>264</v>
      </c>
      <c r="B75" s="6"/>
      <c r="C75" s="6"/>
      <c r="D75" s="6"/>
      <c r="E75" s="20"/>
      <c r="F75" s="20"/>
      <c r="G75" s="20"/>
      <c r="H75" s="20"/>
      <c r="I75" s="20"/>
      <c r="J75" s="20"/>
    </row>
    <row r="76" customFormat="false" ht="18" hidden="false" customHeight="true" outlineLevel="0" collapsed="false">
      <c r="A76" s="6" t="s">
        <v>265</v>
      </c>
      <c r="B76" s="6"/>
      <c r="C76" s="6"/>
      <c r="D76" s="6"/>
      <c r="E76" s="20"/>
      <c r="F76" s="20"/>
      <c r="G76" s="20"/>
      <c r="H76" s="20"/>
      <c r="I76" s="20"/>
      <c r="J76" s="20"/>
    </row>
    <row r="77" customFormat="false" ht="18" hidden="false" customHeight="true" outlineLevel="0" collapsed="false">
      <c r="A77" s="6" t="s">
        <v>266</v>
      </c>
      <c r="B77" s="6"/>
      <c r="C77" s="6"/>
      <c r="D77" s="6"/>
      <c r="E77" s="20"/>
      <c r="F77" s="20"/>
      <c r="G77" s="20"/>
      <c r="H77" s="20"/>
      <c r="I77" s="20"/>
      <c r="J77" s="20"/>
    </row>
    <row r="78" customFormat="false" ht="4.5" hidden="false" customHeight="true" outlineLevel="0" collapsed="false"/>
    <row r="79" customFormat="false" ht="18" hidden="false" customHeight="true" outlineLevel="0" collapsed="false">
      <c r="A79" s="13" t="s">
        <v>70</v>
      </c>
      <c r="B79" s="13"/>
      <c r="C79" s="13"/>
      <c r="D79" s="13"/>
      <c r="E79" s="13"/>
      <c r="F79" s="13"/>
      <c r="G79" s="13"/>
      <c r="H79" s="13"/>
      <c r="I79" s="13"/>
      <c r="J79" s="13"/>
    </row>
  </sheetData>
  <mergeCells count="29">
    <mergeCell ref="A1:E1"/>
    <mergeCell ref="F1:J1"/>
    <mergeCell ref="A2:J2"/>
    <mergeCell ref="A3:C3"/>
    <mergeCell ref="E3:G3"/>
    <mergeCell ref="I3:J3"/>
    <mergeCell ref="A4:C4"/>
    <mergeCell ref="E4:G4"/>
    <mergeCell ref="I4:J4"/>
    <mergeCell ref="A5:C5"/>
    <mergeCell ref="E5:G5"/>
    <mergeCell ref="I5:J5"/>
    <mergeCell ref="A8:J8"/>
    <mergeCell ref="A17:J17"/>
    <mergeCell ref="A28:J28"/>
    <mergeCell ref="A36:J36"/>
    <mergeCell ref="A46:J46"/>
    <mergeCell ref="A53:J53"/>
    <mergeCell ref="A63:J63"/>
    <mergeCell ref="A73:J73"/>
    <mergeCell ref="A74:D74"/>
    <mergeCell ref="E74:J74"/>
    <mergeCell ref="A75:D75"/>
    <mergeCell ref="E75:J75"/>
    <mergeCell ref="A76:D76"/>
    <mergeCell ref="E76:J76"/>
    <mergeCell ref="A77:D77"/>
    <mergeCell ref="E77:J77"/>
    <mergeCell ref="A79:J7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8"/>
    <col collapsed="false" customWidth="true" hidden="false" outlineLevel="0" max="4" min="4" style="0" width="7"/>
    <col collapsed="false" customWidth="true" hidden="false" outlineLevel="0" max="5" min="5" style="0" width="14"/>
    <col collapsed="false" customWidth="true" hidden="false" outlineLevel="0" max="6" min="6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</row>
    <row r="2" customFormat="false" ht="21.75" hidden="false" customHeight="true" outlineLevel="0" collapsed="false">
      <c r="A2" s="5" t="s">
        <v>267</v>
      </c>
      <c r="B2" s="5"/>
      <c r="C2" s="5"/>
      <c r="D2" s="5"/>
      <c r="E2" s="5"/>
      <c r="F2" s="5"/>
      <c r="G2" s="5"/>
      <c r="H2" s="5"/>
      <c r="I2" s="5"/>
      <c r="J2" s="5"/>
    </row>
    <row r="3" customFormat="false" ht="15" hidden="false" customHeight="true" outlineLevel="0" collapsed="false">
      <c r="A3" s="6" t="s">
        <v>188</v>
      </c>
      <c r="B3" s="6"/>
      <c r="C3" s="6"/>
      <c r="D3" s="7"/>
      <c r="E3" s="6" t="s">
        <v>189</v>
      </c>
      <c r="F3" s="6"/>
      <c r="G3" s="6"/>
      <c r="H3" s="7"/>
      <c r="I3" s="6" t="s">
        <v>190</v>
      </c>
      <c r="J3" s="6"/>
    </row>
    <row r="4" customFormat="false" ht="15" hidden="false" customHeight="true" outlineLevel="0" collapsed="false">
      <c r="A4" s="6" t="s">
        <v>268</v>
      </c>
      <c r="B4" s="6"/>
      <c r="C4" s="6"/>
      <c r="D4" s="7"/>
      <c r="E4" s="6" t="s">
        <v>192</v>
      </c>
      <c r="F4" s="6"/>
      <c r="G4" s="6"/>
      <c r="H4" s="7"/>
      <c r="I4" s="6" t="s">
        <v>193</v>
      </c>
      <c r="J4" s="6"/>
    </row>
    <row r="5" customFormat="false" ht="15" hidden="false" customHeight="true" outlineLevel="0" collapsed="false">
      <c r="A5" s="6" t="s">
        <v>269</v>
      </c>
      <c r="B5" s="6"/>
      <c r="C5" s="6"/>
      <c r="D5" s="7"/>
      <c r="E5" s="6" t="s">
        <v>195</v>
      </c>
      <c r="F5" s="6"/>
      <c r="G5" s="6"/>
      <c r="H5" s="7"/>
      <c r="I5" s="6" t="s">
        <v>196</v>
      </c>
      <c r="J5" s="6"/>
    </row>
    <row r="6" customFormat="false" ht="4.5" hidden="false" customHeight="true" outlineLevel="0" collapsed="false"/>
    <row r="7" customFormat="false" ht="18" hidden="false" customHeight="true" outlineLevel="0" collapsed="false">
      <c r="A7" s="8" t="s">
        <v>197</v>
      </c>
      <c r="B7" s="8" t="s">
        <v>198</v>
      </c>
      <c r="C7" s="8" t="s">
        <v>199</v>
      </c>
      <c r="D7" s="8" t="s">
        <v>200</v>
      </c>
      <c r="E7" s="8" t="s">
        <v>201</v>
      </c>
      <c r="F7" s="8" t="s">
        <v>202</v>
      </c>
    </row>
    <row r="8" customFormat="false" ht="16.5" hidden="false" customHeight="true" outlineLevel="0" collapsed="false">
      <c r="A8" s="18" t="s">
        <v>270</v>
      </c>
      <c r="B8" s="18"/>
      <c r="C8" s="18"/>
      <c r="D8" s="18"/>
      <c r="E8" s="18"/>
      <c r="F8" s="18"/>
      <c r="G8" s="18"/>
      <c r="H8" s="18"/>
      <c r="I8" s="18"/>
      <c r="J8" s="18"/>
    </row>
    <row r="9" customFormat="false" ht="15" hidden="false" customHeight="true" outlineLevel="0" collapsed="false">
      <c r="A9" s="11" t="s">
        <v>271</v>
      </c>
      <c r="B9" s="19" t="s">
        <v>205</v>
      </c>
      <c r="C9" s="19" t="s">
        <v>205</v>
      </c>
      <c r="D9" s="19" t="s">
        <v>205</v>
      </c>
      <c r="E9" s="12"/>
      <c r="F9" s="11"/>
    </row>
    <row r="10" customFormat="false" ht="15" hidden="false" customHeight="true" outlineLevel="0" collapsed="false">
      <c r="A10" s="9" t="s">
        <v>272</v>
      </c>
      <c r="B10" s="19" t="s">
        <v>205</v>
      </c>
      <c r="C10" s="19" t="s">
        <v>205</v>
      </c>
      <c r="D10" s="19" t="s">
        <v>205</v>
      </c>
      <c r="E10" s="10"/>
      <c r="F10" s="9"/>
    </row>
    <row r="11" customFormat="false" ht="15" hidden="false" customHeight="true" outlineLevel="0" collapsed="false">
      <c r="A11" s="11" t="s">
        <v>273</v>
      </c>
      <c r="B11" s="19" t="s">
        <v>205</v>
      </c>
      <c r="C11" s="19" t="s">
        <v>205</v>
      </c>
      <c r="D11" s="19" t="s">
        <v>205</v>
      </c>
      <c r="E11" s="12"/>
      <c r="F11" s="11"/>
    </row>
    <row r="12" customFormat="false" ht="15" hidden="false" customHeight="true" outlineLevel="0" collapsed="false">
      <c r="A12" s="9" t="s">
        <v>274</v>
      </c>
      <c r="B12" s="19" t="s">
        <v>205</v>
      </c>
      <c r="C12" s="19" t="s">
        <v>205</v>
      </c>
      <c r="D12" s="19" t="s">
        <v>205</v>
      </c>
      <c r="E12" s="10"/>
      <c r="F12" s="9"/>
    </row>
    <row r="13" customFormat="false" ht="15" hidden="false" customHeight="true" outlineLevel="0" collapsed="false">
      <c r="A13" s="11" t="s">
        <v>275</v>
      </c>
      <c r="B13" s="19" t="s">
        <v>205</v>
      </c>
      <c r="C13" s="19" t="s">
        <v>205</v>
      </c>
      <c r="D13" s="19" t="s">
        <v>205</v>
      </c>
      <c r="E13" s="12"/>
      <c r="F13" s="11"/>
    </row>
    <row r="14" customFormat="false" ht="15" hidden="false" customHeight="true" outlineLevel="0" collapsed="false">
      <c r="A14" s="9" t="s">
        <v>276</v>
      </c>
      <c r="B14" s="19" t="s">
        <v>205</v>
      </c>
      <c r="C14" s="19" t="s">
        <v>205</v>
      </c>
      <c r="D14" s="19" t="s">
        <v>205</v>
      </c>
      <c r="E14" s="10"/>
      <c r="F14" s="9"/>
    </row>
    <row r="15" customFormat="false" ht="3.75" hidden="false" customHeight="true" outlineLevel="0" collapsed="false"/>
    <row r="16" customFormat="false" ht="16.5" hidden="false" customHeight="true" outlineLevel="0" collapsed="false">
      <c r="A16" s="18" t="s">
        <v>203</v>
      </c>
      <c r="B16" s="18"/>
      <c r="C16" s="18"/>
      <c r="D16" s="18"/>
      <c r="E16" s="18"/>
      <c r="F16" s="18"/>
      <c r="G16" s="18"/>
      <c r="H16" s="18"/>
      <c r="I16" s="18"/>
      <c r="J16" s="18"/>
    </row>
    <row r="17" customFormat="false" ht="15" hidden="false" customHeight="true" outlineLevel="0" collapsed="false">
      <c r="A17" s="11" t="s">
        <v>277</v>
      </c>
      <c r="B17" s="19" t="s">
        <v>205</v>
      </c>
      <c r="C17" s="19" t="s">
        <v>205</v>
      </c>
      <c r="D17" s="19" t="s">
        <v>205</v>
      </c>
      <c r="E17" s="12"/>
      <c r="F17" s="11"/>
    </row>
    <row r="18" customFormat="false" ht="15" hidden="false" customHeight="true" outlineLevel="0" collapsed="false">
      <c r="A18" s="9" t="s">
        <v>278</v>
      </c>
      <c r="B18" s="19" t="s">
        <v>205</v>
      </c>
      <c r="C18" s="19" t="s">
        <v>205</v>
      </c>
      <c r="D18" s="19" t="s">
        <v>205</v>
      </c>
      <c r="E18" s="10"/>
      <c r="F18" s="9"/>
    </row>
    <row r="19" customFormat="false" ht="15" hidden="false" customHeight="true" outlineLevel="0" collapsed="false">
      <c r="A19" s="11" t="s">
        <v>279</v>
      </c>
      <c r="B19" s="19" t="s">
        <v>205</v>
      </c>
      <c r="C19" s="19" t="s">
        <v>205</v>
      </c>
      <c r="D19" s="19" t="s">
        <v>205</v>
      </c>
      <c r="E19" s="12"/>
      <c r="F19" s="11"/>
    </row>
    <row r="20" customFormat="false" ht="15" hidden="false" customHeight="true" outlineLevel="0" collapsed="false">
      <c r="A20" s="9" t="s">
        <v>210</v>
      </c>
      <c r="B20" s="19" t="s">
        <v>205</v>
      </c>
      <c r="C20" s="19" t="s">
        <v>205</v>
      </c>
      <c r="D20" s="19" t="s">
        <v>205</v>
      </c>
      <c r="E20" s="10"/>
      <c r="F20" s="9"/>
    </row>
    <row r="21" customFormat="false" ht="3.75" hidden="false" customHeight="true" outlineLevel="0" collapsed="false"/>
    <row r="22" customFormat="false" ht="16.5" hidden="false" customHeight="true" outlineLevel="0" collapsed="false">
      <c r="A22" s="18" t="s">
        <v>280</v>
      </c>
      <c r="B22" s="18"/>
      <c r="C22" s="18"/>
      <c r="D22" s="18"/>
      <c r="E22" s="18"/>
      <c r="F22" s="18"/>
      <c r="G22" s="18"/>
      <c r="H22" s="18"/>
      <c r="I22" s="18"/>
      <c r="J22" s="18"/>
    </row>
    <row r="23" customFormat="false" ht="15" hidden="false" customHeight="true" outlineLevel="0" collapsed="false">
      <c r="A23" s="11" t="s">
        <v>281</v>
      </c>
      <c r="B23" s="19" t="s">
        <v>205</v>
      </c>
      <c r="C23" s="19" t="s">
        <v>205</v>
      </c>
      <c r="D23" s="19" t="s">
        <v>205</v>
      </c>
      <c r="E23" s="12"/>
      <c r="F23" s="11"/>
    </row>
    <row r="24" customFormat="false" ht="15" hidden="false" customHeight="true" outlineLevel="0" collapsed="false">
      <c r="A24" s="9" t="s">
        <v>282</v>
      </c>
      <c r="B24" s="19" t="s">
        <v>205</v>
      </c>
      <c r="C24" s="19" t="s">
        <v>205</v>
      </c>
      <c r="D24" s="19" t="s">
        <v>205</v>
      </c>
      <c r="E24" s="10"/>
      <c r="F24" s="9"/>
    </row>
    <row r="25" customFormat="false" ht="15" hidden="false" customHeight="true" outlineLevel="0" collapsed="false">
      <c r="A25" s="11" t="s">
        <v>283</v>
      </c>
      <c r="B25" s="19" t="s">
        <v>205</v>
      </c>
      <c r="C25" s="19" t="s">
        <v>205</v>
      </c>
      <c r="D25" s="19" t="s">
        <v>205</v>
      </c>
      <c r="E25" s="12"/>
      <c r="F25" s="11"/>
    </row>
    <row r="26" customFormat="false" ht="15" hidden="false" customHeight="true" outlineLevel="0" collapsed="false">
      <c r="A26" s="9" t="s">
        <v>284</v>
      </c>
      <c r="B26" s="19" t="s">
        <v>205</v>
      </c>
      <c r="C26" s="19" t="s">
        <v>205</v>
      </c>
      <c r="D26" s="19" t="s">
        <v>205</v>
      </c>
      <c r="E26" s="10"/>
      <c r="F26" s="9"/>
    </row>
    <row r="27" customFormat="false" ht="15" hidden="false" customHeight="true" outlineLevel="0" collapsed="false">
      <c r="A27" s="11" t="s">
        <v>285</v>
      </c>
      <c r="B27" s="19" t="s">
        <v>205</v>
      </c>
      <c r="C27" s="19" t="s">
        <v>205</v>
      </c>
      <c r="D27" s="19" t="s">
        <v>205</v>
      </c>
      <c r="E27" s="12"/>
      <c r="F27" s="11"/>
    </row>
    <row r="28" customFormat="false" ht="15" hidden="false" customHeight="true" outlineLevel="0" collapsed="false">
      <c r="A28" s="9" t="s">
        <v>286</v>
      </c>
      <c r="B28" s="19" t="s">
        <v>205</v>
      </c>
      <c r="C28" s="19" t="s">
        <v>205</v>
      </c>
      <c r="D28" s="19" t="s">
        <v>205</v>
      </c>
      <c r="E28" s="10"/>
      <c r="F28" s="9"/>
    </row>
    <row r="29" customFormat="false" ht="3.75" hidden="false" customHeight="true" outlineLevel="0" collapsed="false"/>
    <row r="30" customFormat="false" ht="16.5" hidden="false" customHeight="true" outlineLevel="0" collapsed="false">
      <c r="A30" s="18" t="s">
        <v>287</v>
      </c>
      <c r="B30" s="18"/>
      <c r="C30" s="18"/>
      <c r="D30" s="18"/>
      <c r="E30" s="18"/>
      <c r="F30" s="18"/>
      <c r="G30" s="18"/>
      <c r="H30" s="18"/>
      <c r="I30" s="18"/>
      <c r="J30" s="18"/>
    </row>
    <row r="31" customFormat="false" ht="15" hidden="false" customHeight="true" outlineLevel="0" collapsed="false">
      <c r="A31" s="11" t="s">
        <v>288</v>
      </c>
      <c r="B31" s="19" t="s">
        <v>205</v>
      </c>
      <c r="C31" s="19" t="s">
        <v>205</v>
      </c>
      <c r="D31" s="19" t="s">
        <v>205</v>
      </c>
      <c r="E31" s="12"/>
      <c r="F31" s="11"/>
    </row>
    <row r="32" customFormat="false" ht="15" hidden="false" customHeight="true" outlineLevel="0" collapsed="false">
      <c r="A32" s="9" t="s">
        <v>289</v>
      </c>
      <c r="B32" s="19" t="s">
        <v>205</v>
      </c>
      <c r="C32" s="19" t="s">
        <v>205</v>
      </c>
      <c r="D32" s="19" t="s">
        <v>205</v>
      </c>
      <c r="E32" s="10"/>
      <c r="F32" s="9"/>
    </row>
    <row r="33" customFormat="false" ht="15" hidden="false" customHeight="true" outlineLevel="0" collapsed="false">
      <c r="A33" s="11" t="s">
        <v>290</v>
      </c>
      <c r="B33" s="19" t="s">
        <v>205</v>
      </c>
      <c r="C33" s="19" t="s">
        <v>205</v>
      </c>
      <c r="D33" s="19" t="s">
        <v>205</v>
      </c>
      <c r="E33" s="12"/>
      <c r="F33" s="11"/>
    </row>
    <row r="34" customFormat="false" ht="15" hidden="false" customHeight="true" outlineLevel="0" collapsed="false">
      <c r="A34" s="9" t="s">
        <v>291</v>
      </c>
      <c r="B34" s="19" t="s">
        <v>205</v>
      </c>
      <c r="C34" s="19" t="s">
        <v>205</v>
      </c>
      <c r="D34" s="19" t="s">
        <v>205</v>
      </c>
      <c r="E34" s="10"/>
      <c r="F34" s="9"/>
    </row>
    <row r="35" customFormat="false" ht="15" hidden="false" customHeight="true" outlineLevel="0" collapsed="false">
      <c r="A35" s="11" t="s">
        <v>292</v>
      </c>
      <c r="B35" s="19" t="s">
        <v>205</v>
      </c>
      <c r="C35" s="19" t="s">
        <v>205</v>
      </c>
      <c r="D35" s="19" t="s">
        <v>205</v>
      </c>
      <c r="E35" s="12"/>
      <c r="F35" s="11"/>
    </row>
    <row r="36" customFormat="false" ht="15" hidden="false" customHeight="true" outlineLevel="0" collapsed="false">
      <c r="A36" s="9" t="s">
        <v>293</v>
      </c>
      <c r="B36" s="19" t="s">
        <v>205</v>
      </c>
      <c r="C36" s="19" t="s">
        <v>205</v>
      </c>
      <c r="D36" s="19" t="s">
        <v>205</v>
      </c>
      <c r="E36" s="10"/>
      <c r="F36" s="9"/>
    </row>
    <row r="37" customFormat="false" ht="15" hidden="false" customHeight="true" outlineLevel="0" collapsed="false">
      <c r="A37" s="11" t="s">
        <v>294</v>
      </c>
      <c r="B37" s="19" t="s">
        <v>205</v>
      </c>
      <c r="C37" s="19" t="s">
        <v>205</v>
      </c>
      <c r="D37" s="19" t="s">
        <v>205</v>
      </c>
      <c r="E37" s="12"/>
      <c r="F37" s="11"/>
    </row>
    <row r="38" customFormat="false" ht="15" hidden="false" customHeight="true" outlineLevel="0" collapsed="false">
      <c r="A38" s="9" t="s">
        <v>295</v>
      </c>
      <c r="B38" s="19" t="s">
        <v>205</v>
      </c>
      <c r="C38" s="19" t="s">
        <v>205</v>
      </c>
      <c r="D38" s="19" t="s">
        <v>205</v>
      </c>
      <c r="E38" s="10"/>
      <c r="F38" s="9"/>
    </row>
    <row r="39" customFormat="false" ht="15" hidden="false" customHeight="true" outlineLevel="0" collapsed="false">
      <c r="A39" s="11" t="s">
        <v>296</v>
      </c>
      <c r="B39" s="19" t="s">
        <v>205</v>
      </c>
      <c r="C39" s="19" t="s">
        <v>205</v>
      </c>
      <c r="D39" s="19" t="s">
        <v>205</v>
      </c>
      <c r="E39" s="12"/>
      <c r="F39" s="11"/>
    </row>
    <row r="40" customFormat="false" ht="15" hidden="false" customHeight="true" outlineLevel="0" collapsed="false">
      <c r="A40" s="9" t="s">
        <v>297</v>
      </c>
      <c r="B40" s="19" t="s">
        <v>205</v>
      </c>
      <c r="C40" s="19" t="s">
        <v>205</v>
      </c>
      <c r="D40" s="19" t="s">
        <v>205</v>
      </c>
      <c r="E40" s="10"/>
      <c r="F40" s="9"/>
    </row>
    <row r="41" customFormat="false" ht="15" hidden="false" customHeight="true" outlineLevel="0" collapsed="false">
      <c r="A41" s="11" t="s">
        <v>298</v>
      </c>
      <c r="B41" s="19" t="s">
        <v>205</v>
      </c>
      <c r="C41" s="19" t="s">
        <v>205</v>
      </c>
      <c r="D41" s="19" t="s">
        <v>205</v>
      </c>
      <c r="E41" s="12"/>
      <c r="F41" s="11"/>
    </row>
    <row r="42" customFormat="false" ht="15" hidden="false" customHeight="true" outlineLevel="0" collapsed="false">
      <c r="A42" s="9" t="s">
        <v>299</v>
      </c>
      <c r="B42" s="19" t="s">
        <v>205</v>
      </c>
      <c r="C42" s="19" t="s">
        <v>205</v>
      </c>
      <c r="D42" s="19" t="s">
        <v>205</v>
      </c>
      <c r="E42" s="10"/>
      <c r="F42" s="9"/>
    </row>
    <row r="43" customFormat="false" ht="15" hidden="false" customHeight="true" outlineLevel="0" collapsed="false">
      <c r="A43" s="11" t="s">
        <v>300</v>
      </c>
      <c r="B43" s="19" t="s">
        <v>205</v>
      </c>
      <c r="C43" s="19" t="s">
        <v>205</v>
      </c>
      <c r="D43" s="19" t="s">
        <v>205</v>
      </c>
      <c r="E43" s="12"/>
      <c r="F43" s="11"/>
    </row>
    <row r="44" customFormat="false" ht="15" hidden="false" customHeight="true" outlineLevel="0" collapsed="false">
      <c r="A44" s="9" t="s">
        <v>301</v>
      </c>
      <c r="B44" s="19" t="s">
        <v>205</v>
      </c>
      <c r="C44" s="19" t="s">
        <v>205</v>
      </c>
      <c r="D44" s="19" t="s">
        <v>205</v>
      </c>
      <c r="E44" s="10"/>
      <c r="F44" s="9"/>
    </row>
    <row r="45" customFormat="false" ht="3.75" hidden="false" customHeight="true" outlineLevel="0" collapsed="false"/>
    <row r="46" customFormat="false" ht="16.5" hidden="false" customHeight="true" outlineLevel="0" collapsed="false">
      <c r="A46" s="18" t="s">
        <v>302</v>
      </c>
      <c r="B46" s="18"/>
      <c r="C46" s="18"/>
      <c r="D46" s="18"/>
      <c r="E46" s="18"/>
      <c r="F46" s="18"/>
      <c r="G46" s="18"/>
      <c r="H46" s="18"/>
      <c r="I46" s="18"/>
      <c r="J46" s="18"/>
    </row>
    <row r="47" customFormat="false" ht="15" hidden="false" customHeight="true" outlineLevel="0" collapsed="false">
      <c r="A47" s="11" t="s">
        <v>303</v>
      </c>
      <c r="B47" s="19" t="s">
        <v>205</v>
      </c>
      <c r="C47" s="19" t="s">
        <v>205</v>
      </c>
      <c r="D47" s="19" t="s">
        <v>205</v>
      </c>
      <c r="E47" s="12"/>
      <c r="F47" s="11"/>
    </row>
    <row r="48" customFormat="false" ht="15" hidden="false" customHeight="true" outlineLevel="0" collapsed="false">
      <c r="A48" s="9" t="s">
        <v>304</v>
      </c>
      <c r="B48" s="19" t="s">
        <v>205</v>
      </c>
      <c r="C48" s="19" t="s">
        <v>205</v>
      </c>
      <c r="D48" s="19" t="s">
        <v>205</v>
      </c>
      <c r="E48" s="10"/>
      <c r="F48" s="9"/>
    </row>
    <row r="49" customFormat="false" ht="15" hidden="false" customHeight="true" outlineLevel="0" collapsed="false">
      <c r="A49" s="11" t="s">
        <v>305</v>
      </c>
      <c r="B49" s="19" t="s">
        <v>205</v>
      </c>
      <c r="C49" s="19" t="s">
        <v>205</v>
      </c>
      <c r="D49" s="19" t="s">
        <v>205</v>
      </c>
      <c r="E49" s="12"/>
      <c r="F49" s="11"/>
    </row>
    <row r="50" customFormat="false" ht="15" hidden="false" customHeight="true" outlineLevel="0" collapsed="false">
      <c r="A50" s="9" t="s">
        <v>306</v>
      </c>
      <c r="B50" s="19" t="s">
        <v>205</v>
      </c>
      <c r="C50" s="19" t="s">
        <v>205</v>
      </c>
      <c r="D50" s="19" t="s">
        <v>205</v>
      </c>
      <c r="E50" s="10"/>
      <c r="F50" s="9"/>
    </row>
    <row r="51" customFormat="false" ht="15" hidden="false" customHeight="true" outlineLevel="0" collapsed="false">
      <c r="A51" s="11" t="s">
        <v>307</v>
      </c>
      <c r="B51" s="19" t="s">
        <v>205</v>
      </c>
      <c r="C51" s="19" t="s">
        <v>205</v>
      </c>
      <c r="D51" s="19" t="s">
        <v>205</v>
      </c>
      <c r="E51" s="12"/>
      <c r="F51" s="11"/>
    </row>
    <row r="52" customFormat="false" ht="15" hidden="false" customHeight="true" outlineLevel="0" collapsed="false">
      <c r="A52" s="9" t="s">
        <v>308</v>
      </c>
      <c r="B52" s="19" t="s">
        <v>205</v>
      </c>
      <c r="C52" s="19" t="s">
        <v>205</v>
      </c>
      <c r="D52" s="19" t="s">
        <v>205</v>
      </c>
      <c r="E52" s="10"/>
      <c r="F52" s="9"/>
    </row>
    <row r="53" customFormat="false" ht="15" hidden="false" customHeight="true" outlineLevel="0" collapsed="false">
      <c r="A53" s="11" t="s">
        <v>309</v>
      </c>
      <c r="B53" s="19" t="s">
        <v>205</v>
      </c>
      <c r="C53" s="19" t="s">
        <v>205</v>
      </c>
      <c r="D53" s="19" t="s">
        <v>205</v>
      </c>
      <c r="E53" s="12"/>
      <c r="F53" s="11"/>
    </row>
    <row r="54" customFormat="false" ht="3.75" hidden="false" customHeight="true" outlineLevel="0" collapsed="false"/>
    <row r="55" customFormat="false" ht="16.5" hidden="false" customHeight="true" outlineLevel="0" collapsed="false">
      <c r="A55" s="18" t="s">
        <v>310</v>
      </c>
      <c r="B55" s="18"/>
      <c r="C55" s="18"/>
      <c r="D55" s="18"/>
      <c r="E55" s="18"/>
      <c r="F55" s="18"/>
      <c r="G55" s="18"/>
      <c r="H55" s="18"/>
      <c r="I55" s="18"/>
      <c r="J55" s="18"/>
    </row>
    <row r="56" customFormat="false" ht="15" hidden="false" customHeight="true" outlineLevel="0" collapsed="false">
      <c r="A56" s="11" t="s">
        <v>311</v>
      </c>
      <c r="B56" s="19" t="s">
        <v>205</v>
      </c>
      <c r="C56" s="19" t="s">
        <v>205</v>
      </c>
      <c r="D56" s="19" t="s">
        <v>205</v>
      </c>
      <c r="E56" s="12"/>
      <c r="F56" s="11"/>
    </row>
    <row r="57" customFormat="false" ht="15" hidden="false" customHeight="true" outlineLevel="0" collapsed="false">
      <c r="A57" s="9" t="s">
        <v>312</v>
      </c>
      <c r="B57" s="19" t="s">
        <v>205</v>
      </c>
      <c r="C57" s="19" t="s">
        <v>205</v>
      </c>
      <c r="D57" s="19" t="s">
        <v>205</v>
      </c>
      <c r="E57" s="10"/>
      <c r="F57" s="9"/>
    </row>
    <row r="58" customFormat="false" ht="15" hidden="false" customHeight="true" outlineLevel="0" collapsed="false">
      <c r="A58" s="11" t="s">
        <v>313</v>
      </c>
      <c r="B58" s="19" t="s">
        <v>205</v>
      </c>
      <c r="C58" s="19" t="s">
        <v>205</v>
      </c>
      <c r="D58" s="19" t="s">
        <v>205</v>
      </c>
      <c r="E58" s="12"/>
      <c r="F58" s="11"/>
    </row>
    <row r="59" customFormat="false" ht="15" hidden="false" customHeight="true" outlineLevel="0" collapsed="false">
      <c r="A59" s="9" t="s">
        <v>314</v>
      </c>
      <c r="B59" s="19" t="s">
        <v>205</v>
      </c>
      <c r="C59" s="19" t="s">
        <v>205</v>
      </c>
      <c r="D59" s="19" t="s">
        <v>205</v>
      </c>
      <c r="E59" s="10"/>
      <c r="F59" s="9"/>
    </row>
    <row r="60" customFormat="false" ht="15" hidden="false" customHeight="true" outlineLevel="0" collapsed="false">
      <c r="A60" s="11" t="s">
        <v>315</v>
      </c>
      <c r="B60" s="19" t="s">
        <v>205</v>
      </c>
      <c r="C60" s="19" t="s">
        <v>205</v>
      </c>
      <c r="D60" s="19" t="s">
        <v>205</v>
      </c>
      <c r="E60" s="12"/>
      <c r="F60" s="11"/>
    </row>
    <row r="61" customFormat="false" ht="15" hidden="false" customHeight="true" outlineLevel="0" collapsed="false">
      <c r="A61" s="9" t="s">
        <v>316</v>
      </c>
      <c r="B61" s="19" t="s">
        <v>205</v>
      </c>
      <c r="C61" s="19" t="s">
        <v>205</v>
      </c>
      <c r="D61" s="19" t="s">
        <v>205</v>
      </c>
      <c r="E61" s="10"/>
      <c r="F61" s="9"/>
    </row>
    <row r="62" customFormat="false" ht="15" hidden="false" customHeight="true" outlineLevel="0" collapsed="false">
      <c r="A62" s="11" t="s">
        <v>317</v>
      </c>
      <c r="B62" s="19" t="s">
        <v>205</v>
      </c>
      <c r="C62" s="19" t="s">
        <v>205</v>
      </c>
      <c r="D62" s="19" t="s">
        <v>205</v>
      </c>
      <c r="E62" s="12"/>
      <c r="F62" s="11"/>
    </row>
    <row r="63" customFormat="false" ht="3.75" hidden="false" customHeight="true" outlineLevel="0" collapsed="false"/>
    <row r="64" customFormat="false" ht="16.5" hidden="false" customHeight="true" outlineLevel="0" collapsed="false">
      <c r="A64" s="18" t="s">
        <v>238</v>
      </c>
      <c r="B64" s="18"/>
      <c r="C64" s="18"/>
      <c r="D64" s="18"/>
      <c r="E64" s="18"/>
      <c r="F64" s="18"/>
      <c r="G64" s="18"/>
      <c r="H64" s="18"/>
      <c r="I64" s="18"/>
      <c r="J64" s="18"/>
    </row>
    <row r="65" customFormat="false" ht="15" hidden="false" customHeight="true" outlineLevel="0" collapsed="false">
      <c r="A65" s="11" t="s">
        <v>318</v>
      </c>
      <c r="B65" s="19" t="s">
        <v>205</v>
      </c>
      <c r="C65" s="19" t="s">
        <v>205</v>
      </c>
      <c r="D65" s="19" t="s">
        <v>205</v>
      </c>
      <c r="E65" s="12"/>
      <c r="F65" s="11"/>
    </row>
    <row r="66" customFormat="false" ht="15" hidden="false" customHeight="true" outlineLevel="0" collapsed="false">
      <c r="A66" s="9" t="s">
        <v>319</v>
      </c>
      <c r="B66" s="19" t="s">
        <v>205</v>
      </c>
      <c r="C66" s="19" t="s">
        <v>205</v>
      </c>
      <c r="D66" s="19" t="s">
        <v>205</v>
      </c>
      <c r="E66" s="10"/>
      <c r="F66" s="9"/>
    </row>
    <row r="67" customFormat="false" ht="15" hidden="false" customHeight="true" outlineLevel="0" collapsed="false">
      <c r="A67" s="11" t="s">
        <v>242</v>
      </c>
      <c r="B67" s="19" t="s">
        <v>205</v>
      </c>
      <c r="C67" s="19" t="s">
        <v>205</v>
      </c>
      <c r="D67" s="19" t="s">
        <v>205</v>
      </c>
      <c r="E67" s="12"/>
      <c r="F67" s="11"/>
    </row>
    <row r="68" customFormat="false" ht="3.75" hidden="false" customHeight="true" outlineLevel="0" collapsed="false"/>
    <row r="69" customFormat="false" ht="16.5" hidden="false" customHeight="true" outlineLevel="0" collapsed="false">
      <c r="A69" s="18" t="s">
        <v>262</v>
      </c>
      <c r="B69" s="18"/>
      <c r="C69" s="18"/>
      <c r="D69" s="18"/>
      <c r="E69" s="18"/>
      <c r="F69" s="18"/>
      <c r="G69" s="18"/>
      <c r="H69" s="18"/>
      <c r="I69" s="18"/>
      <c r="J69" s="18"/>
    </row>
    <row r="70" customFormat="false" ht="18" hidden="false" customHeight="true" outlineLevel="0" collapsed="false">
      <c r="A70" s="6" t="s">
        <v>263</v>
      </c>
      <c r="B70" s="6"/>
      <c r="C70" s="6"/>
      <c r="D70" s="6"/>
      <c r="E70" s="20"/>
      <c r="F70" s="20"/>
      <c r="G70" s="20"/>
      <c r="H70" s="20"/>
      <c r="I70" s="20"/>
      <c r="J70" s="20"/>
    </row>
    <row r="71" customFormat="false" ht="18" hidden="false" customHeight="true" outlineLevel="0" collapsed="false">
      <c r="A71" s="6" t="s">
        <v>264</v>
      </c>
      <c r="B71" s="6"/>
      <c r="C71" s="6"/>
      <c r="D71" s="6"/>
      <c r="E71" s="20"/>
      <c r="F71" s="20"/>
      <c r="G71" s="20"/>
      <c r="H71" s="20"/>
      <c r="I71" s="20"/>
      <c r="J71" s="20"/>
    </row>
    <row r="72" customFormat="false" ht="18" hidden="false" customHeight="true" outlineLevel="0" collapsed="false">
      <c r="A72" s="6" t="s">
        <v>265</v>
      </c>
      <c r="B72" s="6"/>
      <c r="C72" s="6"/>
      <c r="D72" s="6"/>
      <c r="E72" s="20"/>
      <c r="F72" s="20"/>
      <c r="G72" s="20"/>
      <c r="H72" s="20"/>
      <c r="I72" s="20"/>
      <c r="J72" s="20"/>
    </row>
    <row r="73" customFormat="false" ht="18" hidden="false" customHeight="true" outlineLevel="0" collapsed="false">
      <c r="A73" s="6" t="s">
        <v>266</v>
      </c>
      <c r="B73" s="6"/>
      <c r="C73" s="6"/>
      <c r="D73" s="6"/>
      <c r="E73" s="20"/>
      <c r="F73" s="20"/>
      <c r="G73" s="20"/>
      <c r="H73" s="20"/>
      <c r="I73" s="20"/>
      <c r="J73" s="20"/>
    </row>
    <row r="74" customFormat="false" ht="4.5" hidden="false" customHeight="true" outlineLevel="0" collapsed="false"/>
    <row r="75" customFormat="false" ht="18" hidden="false" customHeight="true" outlineLevel="0" collapsed="false">
      <c r="A75" s="13" t="s">
        <v>70</v>
      </c>
      <c r="B75" s="13"/>
      <c r="C75" s="13"/>
      <c r="D75" s="13"/>
      <c r="E75" s="13"/>
      <c r="F75" s="13"/>
      <c r="G75" s="13"/>
      <c r="H75" s="13"/>
      <c r="I75" s="13"/>
      <c r="J75" s="13"/>
    </row>
  </sheetData>
  <mergeCells count="29">
    <mergeCell ref="A1:E1"/>
    <mergeCell ref="F1:J1"/>
    <mergeCell ref="A2:J2"/>
    <mergeCell ref="A3:C3"/>
    <mergeCell ref="E3:G3"/>
    <mergeCell ref="I3:J3"/>
    <mergeCell ref="A4:C4"/>
    <mergeCell ref="E4:G4"/>
    <mergeCell ref="I4:J4"/>
    <mergeCell ref="A5:C5"/>
    <mergeCell ref="E5:G5"/>
    <mergeCell ref="I5:J5"/>
    <mergeCell ref="A8:J8"/>
    <mergeCell ref="A16:J16"/>
    <mergeCell ref="A22:J22"/>
    <mergeCell ref="A30:J30"/>
    <mergeCell ref="A46:J46"/>
    <mergeCell ref="A55:J55"/>
    <mergeCell ref="A64:J64"/>
    <mergeCell ref="A69:J69"/>
    <mergeCell ref="A70:D70"/>
    <mergeCell ref="E70:J70"/>
    <mergeCell ref="A71:D71"/>
    <mergeCell ref="E71:J71"/>
    <mergeCell ref="A72:D72"/>
    <mergeCell ref="E72:J72"/>
    <mergeCell ref="A73:D73"/>
    <mergeCell ref="E73:J73"/>
    <mergeCell ref="A75:J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8"/>
    <col collapsed="false" customWidth="true" hidden="false" outlineLevel="0" max="4" min="4" style="0" width="7"/>
    <col collapsed="false" customWidth="true" hidden="false" outlineLevel="0" max="5" min="5" style="0" width="14"/>
    <col collapsed="false" customWidth="true" hidden="false" outlineLevel="0" max="6" min="6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</row>
    <row r="2" customFormat="false" ht="21.75" hidden="false" customHeight="true" outlineLevel="0" collapsed="false">
      <c r="A2" s="5" t="s">
        <v>320</v>
      </c>
      <c r="B2" s="5"/>
      <c r="C2" s="5"/>
      <c r="D2" s="5"/>
      <c r="E2" s="5"/>
      <c r="F2" s="5"/>
      <c r="G2" s="5"/>
      <c r="H2" s="5"/>
      <c r="I2" s="5"/>
      <c r="J2" s="5"/>
    </row>
    <row r="3" customFormat="false" ht="15" hidden="false" customHeight="true" outlineLevel="0" collapsed="false">
      <c r="A3" s="6" t="s">
        <v>188</v>
      </c>
      <c r="B3" s="6"/>
      <c r="C3" s="6"/>
      <c r="D3" s="7"/>
      <c r="E3" s="6" t="s">
        <v>189</v>
      </c>
      <c r="F3" s="6"/>
      <c r="G3" s="6"/>
      <c r="H3" s="7"/>
      <c r="I3" s="6" t="s">
        <v>190</v>
      </c>
      <c r="J3" s="6"/>
    </row>
    <row r="4" customFormat="false" ht="15" hidden="false" customHeight="true" outlineLevel="0" collapsed="false">
      <c r="A4" s="6" t="s">
        <v>321</v>
      </c>
      <c r="B4" s="6"/>
      <c r="C4" s="6"/>
      <c r="D4" s="7"/>
      <c r="E4" s="6" t="s">
        <v>192</v>
      </c>
      <c r="F4" s="6"/>
      <c r="G4" s="6"/>
      <c r="H4" s="7"/>
      <c r="I4" s="6" t="s">
        <v>193</v>
      </c>
      <c r="J4" s="6"/>
    </row>
    <row r="5" customFormat="false" ht="15" hidden="false" customHeight="true" outlineLevel="0" collapsed="false">
      <c r="A5" s="6" t="s">
        <v>322</v>
      </c>
      <c r="B5" s="6"/>
      <c r="C5" s="6"/>
      <c r="D5" s="7"/>
      <c r="E5" s="6" t="s">
        <v>195</v>
      </c>
      <c r="F5" s="6"/>
      <c r="G5" s="6"/>
      <c r="H5" s="7"/>
      <c r="I5" s="6" t="s">
        <v>196</v>
      </c>
      <c r="J5" s="6"/>
    </row>
    <row r="6" customFormat="false" ht="4.5" hidden="false" customHeight="true" outlineLevel="0" collapsed="false"/>
    <row r="7" customFormat="false" ht="18" hidden="false" customHeight="true" outlineLevel="0" collapsed="false">
      <c r="A7" s="8" t="s">
        <v>197</v>
      </c>
      <c r="B7" s="8" t="s">
        <v>198</v>
      </c>
      <c r="C7" s="8" t="s">
        <v>199</v>
      </c>
      <c r="D7" s="8" t="s">
        <v>200</v>
      </c>
      <c r="E7" s="8" t="s">
        <v>201</v>
      </c>
      <c r="F7" s="8" t="s">
        <v>202</v>
      </c>
    </row>
    <row r="8" customFormat="false" ht="16.5" hidden="false" customHeight="true" outlineLevel="0" collapsed="false">
      <c r="A8" s="18" t="s">
        <v>323</v>
      </c>
      <c r="B8" s="18"/>
      <c r="C8" s="18"/>
      <c r="D8" s="18"/>
      <c r="E8" s="18"/>
      <c r="F8" s="18"/>
      <c r="G8" s="18"/>
      <c r="H8" s="18"/>
      <c r="I8" s="18"/>
      <c r="J8" s="18"/>
    </row>
    <row r="9" customFormat="false" ht="15" hidden="false" customHeight="true" outlineLevel="0" collapsed="false">
      <c r="A9" s="11" t="s">
        <v>324</v>
      </c>
      <c r="B9" s="19" t="s">
        <v>205</v>
      </c>
      <c r="C9" s="19" t="s">
        <v>205</v>
      </c>
      <c r="D9" s="19" t="s">
        <v>205</v>
      </c>
      <c r="E9" s="12"/>
      <c r="F9" s="11"/>
    </row>
    <row r="10" customFormat="false" ht="15" hidden="false" customHeight="true" outlineLevel="0" collapsed="false">
      <c r="A10" s="9" t="s">
        <v>325</v>
      </c>
      <c r="B10" s="19" t="s">
        <v>205</v>
      </c>
      <c r="C10" s="19" t="s">
        <v>205</v>
      </c>
      <c r="D10" s="19" t="s">
        <v>205</v>
      </c>
      <c r="E10" s="10"/>
      <c r="F10" s="9"/>
    </row>
    <row r="11" customFormat="false" ht="15" hidden="false" customHeight="true" outlineLevel="0" collapsed="false">
      <c r="A11" s="11" t="s">
        <v>326</v>
      </c>
      <c r="B11" s="19" t="s">
        <v>205</v>
      </c>
      <c r="C11" s="19" t="s">
        <v>205</v>
      </c>
      <c r="D11" s="19" t="s">
        <v>205</v>
      </c>
      <c r="E11" s="12"/>
      <c r="F11" s="11"/>
    </row>
    <row r="12" customFormat="false" ht="15" hidden="false" customHeight="true" outlineLevel="0" collapsed="false">
      <c r="A12" s="9" t="s">
        <v>327</v>
      </c>
      <c r="B12" s="19" t="s">
        <v>205</v>
      </c>
      <c r="C12" s="19" t="s">
        <v>205</v>
      </c>
      <c r="D12" s="19" t="s">
        <v>205</v>
      </c>
      <c r="E12" s="10"/>
      <c r="F12" s="9"/>
    </row>
    <row r="13" customFormat="false" ht="15" hidden="false" customHeight="true" outlineLevel="0" collapsed="false">
      <c r="A13" s="11" t="s">
        <v>328</v>
      </c>
      <c r="B13" s="19" t="s">
        <v>205</v>
      </c>
      <c r="C13" s="19" t="s">
        <v>205</v>
      </c>
      <c r="D13" s="19" t="s">
        <v>205</v>
      </c>
      <c r="E13" s="12"/>
      <c r="F13" s="11"/>
    </row>
    <row r="14" customFormat="false" ht="3.75" hidden="false" customHeight="true" outlineLevel="0" collapsed="false"/>
    <row r="15" customFormat="false" ht="16.5" hidden="false" customHeight="true" outlineLevel="0" collapsed="false">
      <c r="A15" s="18" t="s">
        <v>329</v>
      </c>
      <c r="B15" s="18"/>
      <c r="C15" s="18"/>
      <c r="D15" s="18"/>
      <c r="E15" s="18"/>
      <c r="F15" s="18"/>
      <c r="G15" s="18"/>
      <c r="H15" s="18"/>
      <c r="I15" s="18"/>
      <c r="J15" s="18"/>
    </row>
    <row r="16" customFormat="false" ht="15" hidden="false" customHeight="true" outlineLevel="0" collapsed="false">
      <c r="A16" s="11" t="s">
        <v>288</v>
      </c>
      <c r="B16" s="19" t="s">
        <v>205</v>
      </c>
      <c r="C16" s="19" t="s">
        <v>205</v>
      </c>
      <c r="D16" s="19" t="s">
        <v>205</v>
      </c>
      <c r="E16" s="12"/>
      <c r="F16" s="11"/>
    </row>
    <row r="17" customFormat="false" ht="15" hidden="false" customHeight="true" outlineLevel="0" collapsed="false">
      <c r="A17" s="9" t="s">
        <v>289</v>
      </c>
      <c r="B17" s="19" t="s">
        <v>205</v>
      </c>
      <c r="C17" s="19" t="s">
        <v>205</v>
      </c>
      <c r="D17" s="19" t="s">
        <v>205</v>
      </c>
      <c r="E17" s="10"/>
      <c r="F17" s="9"/>
    </row>
    <row r="18" customFormat="false" ht="15" hidden="false" customHeight="true" outlineLevel="0" collapsed="false">
      <c r="A18" s="11" t="s">
        <v>330</v>
      </c>
      <c r="B18" s="19" t="s">
        <v>205</v>
      </c>
      <c r="C18" s="19" t="s">
        <v>205</v>
      </c>
      <c r="D18" s="19" t="s">
        <v>205</v>
      </c>
      <c r="E18" s="12"/>
      <c r="F18" s="11"/>
    </row>
    <row r="19" customFormat="false" ht="15" hidden="false" customHeight="true" outlineLevel="0" collapsed="false">
      <c r="A19" s="9" t="s">
        <v>331</v>
      </c>
      <c r="B19" s="19" t="s">
        <v>205</v>
      </c>
      <c r="C19" s="19" t="s">
        <v>205</v>
      </c>
      <c r="D19" s="19" t="s">
        <v>205</v>
      </c>
      <c r="E19" s="10"/>
      <c r="F19" s="9"/>
    </row>
    <row r="20" customFormat="false" ht="15" hidden="false" customHeight="true" outlineLevel="0" collapsed="false">
      <c r="A20" s="11" t="s">
        <v>332</v>
      </c>
      <c r="B20" s="19" t="s">
        <v>205</v>
      </c>
      <c r="C20" s="19" t="s">
        <v>205</v>
      </c>
      <c r="D20" s="19" t="s">
        <v>205</v>
      </c>
      <c r="E20" s="12"/>
      <c r="F20" s="11"/>
    </row>
    <row r="21" customFormat="false" ht="15" hidden="false" customHeight="true" outlineLevel="0" collapsed="false">
      <c r="A21" s="9" t="s">
        <v>333</v>
      </c>
      <c r="B21" s="19" t="s">
        <v>205</v>
      </c>
      <c r="C21" s="19" t="s">
        <v>205</v>
      </c>
      <c r="D21" s="19" t="s">
        <v>205</v>
      </c>
      <c r="E21" s="10"/>
      <c r="F21" s="9"/>
    </row>
    <row r="22" customFormat="false" ht="15" hidden="false" customHeight="true" outlineLevel="0" collapsed="false">
      <c r="A22" s="11" t="s">
        <v>334</v>
      </c>
      <c r="B22" s="19" t="s">
        <v>205</v>
      </c>
      <c r="C22" s="19" t="s">
        <v>205</v>
      </c>
      <c r="D22" s="19" t="s">
        <v>205</v>
      </c>
      <c r="E22" s="12"/>
      <c r="F22" s="11"/>
    </row>
    <row r="23" customFormat="false" ht="15" hidden="false" customHeight="true" outlineLevel="0" collapsed="false">
      <c r="A23" s="9" t="s">
        <v>335</v>
      </c>
      <c r="B23" s="19" t="s">
        <v>205</v>
      </c>
      <c r="C23" s="19" t="s">
        <v>205</v>
      </c>
      <c r="D23" s="19" t="s">
        <v>205</v>
      </c>
      <c r="E23" s="10"/>
      <c r="F23" s="9"/>
    </row>
    <row r="24" customFormat="false" ht="15" hidden="false" customHeight="true" outlineLevel="0" collapsed="false">
      <c r="A24" s="11" t="s">
        <v>336</v>
      </c>
      <c r="B24" s="19" t="s">
        <v>205</v>
      </c>
      <c r="C24" s="19" t="s">
        <v>205</v>
      </c>
      <c r="D24" s="19" t="s">
        <v>205</v>
      </c>
      <c r="E24" s="12"/>
      <c r="F24" s="11"/>
    </row>
    <row r="25" customFormat="false" ht="3.75" hidden="false" customHeight="true" outlineLevel="0" collapsed="false"/>
    <row r="26" customFormat="false" ht="16.5" hidden="false" customHeight="true" outlineLevel="0" collapsed="false">
      <c r="A26" s="18" t="s">
        <v>337</v>
      </c>
      <c r="B26" s="18"/>
      <c r="C26" s="18"/>
      <c r="D26" s="18"/>
      <c r="E26" s="18"/>
      <c r="F26" s="18"/>
      <c r="G26" s="18"/>
      <c r="H26" s="18"/>
      <c r="I26" s="18"/>
      <c r="J26" s="18"/>
    </row>
    <row r="27" customFormat="false" ht="15" hidden="false" customHeight="true" outlineLevel="0" collapsed="false">
      <c r="A27" s="11" t="s">
        <v>338</v>
      </c>
      <c r="B27" s="19" t="s">
        <v>205</v>
      </c>
      <c r="C27" s="19" t="s">
        <v>205</v>
      </c>
      <c r="D27" s="19" t="s">
        <v>205</v>
      </c>
      <c r="E27" s="12"/>
      <c r="F27" s="11"/>
    </row>
    <row r="28" customFormat="false" ht="15" hidden="false" customHeight="true" outlineLevel="0" collapsed="false">
      <c r="A28" s="9" t="s">
        <v>339</v>
      </c>
      <c r="B28" s="19" t="s">
        <v>205</v>
      </c>
      <c r="C28" s="19" t="s">
        <v>205</v>
      </c>
      <c r="D28" s="19" t="s">
        <v>205</v>
      </c>
      <c r="E28" s="10"/>
      <c r="F28" s="9"/>
    </row>
    <row r="29" customFormat="false" ht="15" hidden="false" customHeight="true" outlineLevel="0" collapsed="false">
      <c r="A29" s="11" t="s">
        <v>340</v>
      </c>
      <c r="B29" s="19" t="s">
        <v>205</v>
      </c>
      <c r="C29" s="19" t="s">
        <v>205</v>
      </c>
      <c r="D29" s="19" t="s">
        <v>205</v>
      </c>
      <c r="E29" s="12"/>
      <c r="F29" s="11"/>
    </row>
    <row r="30" customFormat="false" ht="15" hidden="false" customHeight="true" outlineLevel="0" collapsed="false">
      <c r="A30" s="9" t="s">
        <v>341</v>
      </c>
      <c r="B30" s="19" t="s">
        <v>205</v>
      </c>
      <c r="C30" s="19" t="s">
        <v>205</v>
      </c>
      <c r="D30" s="19" t="s">
        <v>205</v>
      </c>
      <c r="E30" s="10"/>
      <c r="F30" s="9"/>
    </row>
    <row r="31" customFormat="false" ht="3.75" hidden="false" customHeight="true" outlineLevel="0" collapsed="false"/>
    <row r="32" customFormat="false" ht="16.5" hidden="false" customHeight="true" outlineLevel="0" collapsed="false">
      <c r="A32" s="18" t="s">
        <v>342</v>
      </c>
      <c r="B32" s="18"/>
      <c r="C32" s="18"/>
      <c r="D32" s="18"/>
      <c r="E32" s="18"/>
      <c r="F32" s="18"/>
      <c r="G32" s="18"/>
      <c r="H32" s="18"/>
      <c r="I32" s="18"/>
      <c r="J32" s="18"/>
    </row>
    <row r="33" customFormat="false" ht="15" hidden="false" customHeight="true" outlineLevel="0" collapsed="false">
      <c r="A33" s="11" t="s">
        <v>343</v>
      </c>
      <c r="B33" s="19" t="s">
        <v>205</v>
      </c>
      <c r="C33" s="19" t="s">
        <v>205</v>
      </c>
      <c r="D33" s="19" t="s">
        <v>205</v>
      </c>
      <c r="E33" s="12"/>
      <c r="F33" s="11"/>
    </row>
    <row r="34" customFormat="false" ht="15" hidden="false" customHeight="true" outlineLevel="0" collapsed="false">
      <c r="A34" s="9" t="s">
        <v>344</v>
      </c>
      <c r="B34" s="19" t="s">
        <v>205</v>
      </c>
      <c r="C34" s="19" t="s">
        <v>205</v>
      </c>
      <c r="D34" s="19" t="s">
        <v>205</v>
      </c>
      <c r="E34" s="10"/>
      <c r="F34" s="9"/>
    </row>
    <row r="35" customFormat="false" ht="15" hidden="false" customHeight="true" outlineLevel="0" collapsed="false">
      <c r="A35" s="11" t="s">
        <v>345</v>
      </c>
      <c r="B35" s="19" t="s">
        <v>205</v>
      </c>
      <c r="C35" s="19" t="s">
        <v>205</v>
      </c>
      <c r="D35" s="19" t="s">
        <v>205</v>
      </c>
      <c r="E35" s="12"/>
      <c r="F35" s="11"/>
    </row>
    <row r="36" customFormat="false" ht="15" hidden="false" customHeight="true" outlineLevel="0" collapsed="false">
      <c r="A36" s="9" t="s">
        <v>346</v>
      </c>
      <c r="B36" s="19" t="s">
        <v>205</v>
      </c>
      <c r="C36" s="19" t="s">
        <v>205</v>
      </c>
      <c r="D36" s="19" t="s">
        <v>205</v>
      </c>
      <c r="E36" s="10"/>
      <c r="F36" s="9"/>
    </row>
    <row r="37" customFormat="false" ht="15" hidden="false" customHeight="true" outlineLevel="0" collapsed="false">
      <c r="A37" s="11" t="s">
        <v>347</v>
      </c>
      <c r="B37" s="19" t="s">
        <v>205</v>
      </c>
      <c r="C37" s="19" t="s">
        <v>205</v>
      </c>
      <c r="D37" s="19" t="s">
        <v>205</v>
      </c>
      <c r="E37" s="12"/>
      <c r="F37" s="11"/>
    </row>
    <row r="38" customFormat="false" ht="3.75" hidden="false" customHeight="true" outlineLevel="0" collapsed="false"/>
    <row r="39" customFormat="false" ht="16.5" hidden="false" customHeight="true" outlineLevel="0" collapsed="false">
      <c r="A39" s="18" t="s">
        <v>348</v>
      </c>
      <c r="B39" s="18"/>
      <c r="C39" s="18"/>
      <c r="D39" s="18"/>
      <c r="E39" s="18"/>
      <c r="F39" s="18"/>
      <c r="G39" s="18"/>
      <c r="H39" s="18"/>
      <c r="I39" s="18"/>
      <c r="J39" s="18"/>
    </row>
    <row r="40" customFormat="false" ht="15" hidden="false" customHeight="true" outlineLevel="0" collapsed="false">
      <c r="A40" s="11" t="s">
        <v>349</v>
      </c>
      <c r="B40" s="19" t="s">
        <v>205</v>
      </c>
      <c r="C40" s="19" t="s">
        <v>205</v>
      </c>
      <c r="D40" s="19" t="s">
        <v>205</v>
      </c>
      <c r="E40" s="12"/>
      <c r="F40" s="11"/>
    </row>
    <row r="41" customFormat="false" ht="15" hidden="false" customHeight="true" outlineLevel="0" collapsed="false">
      <c r="A41" s="9" t="s">
        <v>350</v>
      </c>
      <c r="B41" s="19" t="s">
        <v>205</v>
      </c>
      <c r="C41" s="19" t="s">
        <v>205</v>
      </c>
      <c r="D41" s="19" t="s">
        <v>205</v>
      </c>
      <c r="E41" s="10"/>
      <c r="F41" s="9"/>
    </row>
    <row r="42" customFormat="false" ht="15" hidden="false" customHeight="true" outlineLevel="0" collapsed="false">
      <c r="A42" s="11" t="s">
        <v>351</v>
      </c>
      <c r="B42" s="19" t="s">
        <v>205</v>
      </c>
      <c r="C42" s="19" t="s">
        <v>205</v>
      </c>
      <c r="D42" s="19" t="s">
        <v>205</v>
      </c>
      <c r="E42" s="12"/>
      <c r="F42" s="11"/>
    </row>
    <row r="43" customFormat="false" ht="15" hidden="false" customHeight="true" outlineLevel="0" collapsed="false">
      <c r="A43" s="9" t="s">
        <v>352</v>
      </c>
      <c r="B43" s="19" t="s">
        <v>205</v>
      </c>
      <c r="C43" s="19" t="s">
        <v>205</v>
      </c>
      <c r="D43" s="19" t="s">
        <v>205</v>
      </c>
      <c r="E43" s="10"/>
      <c r="F43" s="9"/>
    </row>
    <row r="44" customFormat="false" ht="15" hidden="false" customHeight="true" outlineLevel="0" collapsed="false">
      <c r="A44" s="11" t="s">
        <v>353</v>
      </c>
      <c r="B44" s="19" t="s">
        <v>205</v>
      </c>
      <c r="C44" s="19" t="s">
        <v>205</v>
      </c>
      <c r="D44" s="19" t="s">
        <v>205</v>
      </c>
      <c r="E44" s="12"/>
      <c r="F44" s="11"/>
    </row>
    <row r="45" customFormat="false" ht="15" hidden="false" customHeight="true" outlineLevel="0" collapsed="false">
      <c r="A45" s="9" t="s">
        <v>354</v>
      </c>
      <c r="B45" s="19" t="s">
        <v>205</v>
      </c>
      <c r="C45" s="19" t="s">
        <v>205</v>
      </c>
      <c r="D45" s="19" t="s">
        <v>205</v>
      </c>
      <c r="E45" s="10"/>
      <c r="F45" s="9"/>
    </row>
    <row r="46" customFormat="false" ht="15" hidden="false" customHeight="true" outlineLevel="0" collapsed="false">
      <c r="A46" s="11" t="s">
        <v>355</v>
      </c>
      <c r="B46" s="19" t="s">
        <v>205</v>
      </c>
      <c r="C46" s="19" t="s">
        <v>205</v>
      </c>
      <c r="D46" s="19" t="s">
        <v>205</v>
      </c>
      <c r="E46" s="12"/>
      <c r="F46" s="11"/>
    </row>
    <row r="47" customFormat="false" ht="3.75" hidden="false" customHeight="true" outlineLevel="0" collapsed="false"/>
    <row r="48" customFormat="false" ht="16.5" hidden="false" customHeight="true" outlineLevel="0" collapsed="false">
      <c r="A48" s="18" t="s">
        <v>310</v>
      </c>
      <c r="B48" s="18"/>
      <c r="C48" s="18"/>
      <c r="D48" s="18"/>
      <c r="E48" s="18"/>
      <c r="F48" s="18"/>
      <c r="G48" s="18"/>
      <c r="H48" s="18"/>
      <c r="I48" s="18"/>
      <c r="J48" s="18"/>
    </row>
    <row r="49" customFormat="false" ht="15" hidden="false" customHeight="true" outlineLevel="0" collapsed="false">
      <c r="A49" s="11" t="s">
        <v>356</v>
      </c>
      <c r="B49" s="19" t="s">
        <v>205</v>
      </c>
      <c r="C49" s="19" t="s">
        <v>205</v>
      </c>
      <c r="D49" s="19" t="s">
        <v>205</v>
      </c>
      <c r="E49" s="12"/>
      <c r="F49" s="11"/>
    </row>
    <row r="50" customFormat="false" ht="15" hidden="false" customHeight="true" outlineLevel="0" collapsed="false">
      <c r="A50" s="9" t="s">
        <v>299</v>
      </c>
      <c r="B50" s="19" t="s">
        <v>205</v>
      </c>
      <c r="C50" s="19" t="s">
        <v>205</v>
      </c>
      <c r="D50" s="19" t="s">
        <v>205</v>
      </c>
      <c r="E50" s="10"/>
      <c r="F50" s="9"/>
    </row>
    <row r="51" customFormat="false" ht="15" hidden="false" customHeight="true" outlineLevel="0" collapsed="false">
      <c r="A51" s="11" t="s">
        <v>357</v>
      </c>
      <c r="B51" s="19" t="s">
        <v>205</v>
      </c>
      <c r="C51" s="19" t="s">
        <v>205</v>
      </c>
      <c r="D51" s="19" t="s">
        <v>205</v>
      </c>
      <c r="E51" s="12"/>
      <c r="F51" s="11"/>
    </row>
    <row r="52" customFormat="false" ht="15" hidden="false" customHeight="true" outlineLevel="0" collapsed="false">
      <c r="A52" s="9" t="s">
        <v>358</v>
      </c>
      <c r="B52" s="19" t="s">
        <v>205</v>
      </c>
      <c r="C52" s="19" t="s">
        <v>205</v>
      </c>
      <c r="D52" s="19" t="s">
        <v>205</v>
      </c>
      <c r="E52" s="10"/>
      <c r="F52" s="9"/>
    </row>
    <row r="53" customFormat="false" ht="15" hidden="false" customHeight="true" outlineLevel="0" collapsed="false">
      <c r="A53" s="11" t="s">
        <v>359</v>
      </c>
      <c r="B53" s="19" t="s">
        <v>205</v>
      </c>
      <c r="C53" s="19" t="s">
        <v>205</v>
      </c>
      <c r="D53" s="19" t="s">
        <v>205</v>
      </c>
      <c r="E53" s="12"/>
      <c r="F53" s="11"/>
    </row>
    <row r="54" customFormat="false" ht="15" hidden="false" customHeight="true" outlineLevel="0" collapsed="false">
      <c r="A54" s="9" t="s">
        <v>360</v>
      </c>
      <c r="B54" s="19" t="s">
        <v>205</v>
      </c>
      <c r="C54" s="19" t="s">
        <v>205</v>
      </c>
      <c r="D54" s="19" t="s">
        <v>205</v>
      </c>
      <c r="E54" s="10"/>
      <c r="F54" s="9"/>
    </row>
    <row r="55" customFormat="false" ht="3.75" hidden="false" customHeight="true" outlineLevel="0" collapsed="false"/>
    <row r="56" customFormat="false" ht="16.5" hidden="false" customHeight="true" outlineLevel="0" collapsed="false">
      <c r="A56" s="18" t="s">
        <v>262</v>
      </c>
      <c r="B56" s="18"/>
      <c r="C56" s="18"/>
      <c r="D56" s="18"/>
      <c r="E56" s="18"/>
      <c r="F56" s="18"/>
      <c r="G56" s="18"/>
      <c r="H56" s="18"/>
      <c r="I56" s="18"/>
      <c r="J56" s="18"/>
    </row>
    <row r="57" customFormat="false" ht="18" hidden="false" customHeight="true" outlineLevel="0" collapsed="false">
      <c r="A57" s="6" t="s">
        <v>263</v>
      </c>
      <c r="B57" s="6"/>
      <c r="C57" s="6"/>
      <c r="D57" s="6"/>
      <c r="E57" s="20"/>
      <c r="F57" s="20"/>
      <c r="G57" s="20"/>
      <c r="H57" s="20"/>
      <c r="I57" s="20"/>
      <c r="J57" s="20"/>
    </row>
    <row r="58" customFormat="false" ht="18" hidden="false" customHeight="true" outlineLevel="0" collapsed="false">
      <c r="A58" s="6" t="s">
        <v>264</v>
      </c>
      <c r="B58" s="6"/>
      <c r="C58" s="6"/>
      <c r="D58" s="6"/>
      <c r="E58" s="20"/>
      <c r="F58" s="20"/>
      <c r="G58" s="20"/>
      <c r="H58" s="20"/>
      <c r="I58" s="20"/>
      <c r="J58" s="20"/>
    </row>
    <row r="59" customFormat="false" ht="18" hidden="false" customHeight="true" outlineLevel="0" collapsed="false">
      <c r="A59" s="6" t="s">
        <v>265</v>
      </c>
      <c r="B59" s="6"/>
      <c r="C59" s="6"/>
      <c r="D59" s="6"/>
      <c r="E59" s="20"/>
      <c r="F59" s="20"/>
      <c r="G59" s="20"/>
      <c r="H59" s="20"/>
      <c r="I59" s="20"/>
      <c r="J59" s="20"/>
    </row>
    <row r="60" customFormat="false" ht="18" hidden="false" customHeight="true" outlineLevel="0" collapsed="false">
      <c r="A60" s="6" t="s">
        <v>266</v>
      </c>
      <c r="B60" s="6"/>
      <c r="C60" s="6"/>
      <c r="D60" s="6"/>
      <c r="E60" s="20"/>
      <c r="F60" s="20"/>
      <c r="G60" s="20"/>
      <c r="H60" s="20"/>
      <c r="I60" s="20"/>
      <c r="J60" s="20"/>
    </row>
    <row r="61" customFormat="false" ht="4.5" hidden="false" customHeight="true" outlineLevel="0" collapsed="false"/>
    <row r="62" customFormat="false" ht="18" hidden="false" customHeight="true" outlineLevel="0" collapsed="false">
      <c r="A62" s="13" t="s">
        <v>70</v>
      </c>
      <c r="B62" s="13"/>
      <c r="C62" s="13"/>
      <c r="D62" s="13"/>
      <c r="E62" s="13"/>
      <c r="F62" s="13"/>
      <c r="G62" s="13"/>
      <c r="H62" s="13"/>
      <c r="I62" s="13"/>
      <c r="J62" s="13"/>
    </row>
  </sheetData>
  <mergeCells count="28">
    <mergeCell ref="A1:E1"/>
    <mergeCell ref="F1:J1"/>
    <mergeCell ref="A2:J2"/>
    <mergeCell ref="A3:C3"/>
    <mergeCell ref="E3:G3"/>
    <mergeCell ref="I3:J3"/>
    <mergeCell ref="A4:C4"/>
    <mergeCell ref="E4:G4"/>
    <mergeCell ref="I4:J4"/>
    <mergeCell ref="A5:C5"/>
    <mergeCell ref="E5:G5"/>
    <mergeCell ref="I5:J5"/>
    <mergeCell ref="A8:J8"/>
    <mergeCell ref="A15:J15"/>
    <mergeCell ref="A26:J26"/>
    <mergeCell ref="A32:J32"/>
    <mergeCell ref="A39:J39"/>
    <mergeCell ref="A48:J48"/>
    <mergeCell ref="A56:J56"/>
    <mergeCell ref="A57:D57"/>
    <mergeCell ref="E57:J57"/>
    <mergeCell ref="A58:D58"/>
    <mergeCell ref="E58:J58"/>
    <mergeCell ref="A59:D59"/>
    <mergeCell ref="E59:J59"/>
    <mergeCell ref="A60:D60"/>
    <mergeCell ref="E60:J60"/>
    <mergeCell ref="A62:J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8"/>
    <col collapsed="false" customWidth="true" hidden="false" outlineLevel="0" max="4" min="4" style="0" width="7"/>
    <col collapsed="false" customWidth="true" hidden="false" outlineLevel="0" max="5" min="5" style="0" width="14"/>
    <col collapsed="false" customWidth="true" hidden="false" outlineLevel="0" max="6" min="6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</row>
    <row r="2" customFormat="false" ht="21.75" hidden="false" customHeight="true" outlineLevel="0" collapsed="false">
      <c r="A2" s="5" t="s">
        <v>361</v>
      </c>
      <c r="B2" s="5"/>
      <c r="C2" s="5"/>
      <c r="D2" s="5"/>
      <c r="E2" s="5"/>
      <c r="F2" s="5"/>
      <c r="G2" s="5"/>
      <c r="H2" s="5"/>
      <c r="I2" s="5"/>
      <c r="J2" s="5"/>
    </row>
    <row r="3" customFormat="false" ht="15" hidden="false" customHeight="true" outlineLevel="0" collapsed="false">
      <c r="A3" s="6" t="s">
        <v>188</v>
      </c>
      <c r="B3" s="6"/>
      <c r="C3" s="6"/>
      <c r="D3" s="7"/>
      <c r="E3" s="6" t="s">
        <v>189</v>
      </c>
      <c r="F3" s="6"/>
      <c r="G3" s="6"/>
      <c r="H3" s="7"/>
      <c r="I3" s="6" t="s">
        <v>190</v>
      </c>
      <c r="J3" s="6"/>
    </row>
    <row r="4" customFormat="false" ht="15" hidden="false" customHeight="true" outlineLevel="0" collapsed="false">
      <c r="A4" s="6" t="s">
        <v>362</v>
      </c>
      <c r="B4" s="6"/>
      <c r="C4" s="6"/>
      <c r="D4" s="7"/>
      <c r="E4" s="6" t="s">
        <v>192</v>
      </c>
      <c r="F4" s="6"/>
      <c r="G4" s="6"/>
      <c r="H4" s="7"/>
      <c r="I4" s="6" t="s">
        <v>193</v>
      </c>
      <c r="J4" s="6"/>
    </row>
    <row r="5" customFormat="false" ht="15" hidden="false" customHeight="true" outlineLevel="0" collapsed="false">
      <c r="A5" s="6" t="s">
        <v>363</v>
      </c>
      <c r="B5" s="6"/>
      <c r="C5" s="6"/>
      <c r="D5" s="7"/>
      <c r="E5" s="6" t="s">
        <v>364</v>
      </c>
      <c r="F5" s="6"/>
      <c r="G5" s="6"/>
      <c r="H5" s="7"/>
      <c r="I5" s="6" t="s">
        <v>196</v>
      </c>
      <c r="J5" s="6"/>
    </row>
    <row r="6" customFormat="false" ht="4.5" hidden="false" customHeight="true" outlineLevel="0" collapsed="false"/>
    <row r="7" customFormat="false" ht="18" hidden="false" customHeight="true" outlineLevel="0" collapsed="false">
      <c r="A7" s="8" t="s">
        <v>197</v>
      </c>
      <c r="B7" s="8" t="s">
        <v>198</v>
      </c>
      <c r="C7" s="8" t="s">
        <v>199</v>
      </c>
      <c r="D7" s="8" t="s">
        <v>200</v>
      </c>
      <c r="E7" s="8" t="s">
        <v>201</v>
      </c>
      <c r="F7" s="8" t="s">
        <v>202</v>
      </c>
    </row>
    <row r="8" customFormat="false" ht="16.5" hidden="false" customHeight="true" outlineLevel="0" collapsed="false">
      <c r="A8" s="18" t="s">
        <v>323</v>
      </c>
      <c r="B8" s="18"/>
      <c r="C8" s="18"/>
      <c r="D8" s="18"/>
      <c r="E8" s="18"/>
      <c r="F8" s="18"/>
      <c r="G8" s="18"/>
      <c r="H8" s="18"/>
      <c r="I8" s="18"/>
      <c r="J8" s="18"/>
    </row>
    <row r="9" customFormat="false" ht="15" hidden="false" customHeight="true" outlineLevel="0" collapsed="false">
      <c r="A9" s="11" t="s">
        <v>365</v>
      </c>
      <c r="B9" s="19" t="s">
        <v>205</v>
      </c>
      <c r="C9" s="19" t="s">
        <v>205</v>
      </c>
      <c r="D9" s="19" t="s">
        <v>205</v>
      </c>
      <c r="E9" s="12"/>
      <c r="F9" s="11"/>
    </row>
    <row r="10" customFormat="false" ht="15" hidden="false" customHeight="true" outlineLevel="0" collapsed="false">
      <c r="A10" s="9" t="s">
        <v>366</v>
      </c>
      <c r="B10" s="19" t="s">
        <v>205</v>
      </c>
      <c r="C10" s="19" t="s">
        <v>205</v>
      </c>
      <c r="D10" s="19" t="s">
        <v>205</v>
      </c>
      <c r="E10" s="10"/>
      <c r="F10" s="9"/>
    </row>
    <row r="11" customFormat="false" ht="15" hidden="false" customHeight="true" outlineLevel="0" collapsed="false">
      <c r="A11" s="11" t="s">
        <v>367</v>
      </c>
      <c r="B11" s="19" t="s">
        <v>205</v>
      </c>
      <c r="C11" s="19" t="s">
        <v>205</v>
      </c>
      <c r="D11" s="19" t="s">
        <v>205</v>
      </c>
      <c r="E11" s="12"/>
      <c r="F11" s="11"/>
    </row>
    <row r="12" customFormat="false" ht="15" hidden="false" customHeight="true" outlineLevel="0" collapsed="false">
      <c r="A12" s="9" t="s">
        <v>368</v>
      </c>
      <c r="B12" s="19" t="s">
        <v>205</v>
      </c>
      <c r="C12" s="19" t="s">
        <v>205</v>
      </c>
      <c r="D12" s="19" t="s">
        <v>205</v>
      </c>
      <c r="E12" s="10"/>
      <c r="F12" s="9"/>
    </row>
    <row r="13" customFormat="false" ht="15" hidden="false" customHeight="true" outlineLevel="0" collapsed="false">
      <c r="A13" s="11" t="s">
        <v>369</v>
      </c>
      <c r="B13" s="19" t="s">
        <v>205</v>
      </c>
      <c r="C13" s="19" t="s">
        <v>205</v>
      </c>
      <c r="D13" s="19" t="s">
        <v>205</v>
      </c>
      <c r="E13" s="12"/>
      <c r="F13" s="11"/>
    </row>
    <row r="14" customFormat="false" ht="3.75" hidden="false" customHeight="true" outlineLevel="0" collapsed="false"/>
    <row r="15" customFormat="false" ht="16.5" hidden="false" customHeight="true" outlineLevel="0" collapsed="false">
      <c r="A15" s="18" t="s">
        <v>370</v>
      </c>
      <c r="B15" s="18"/>
      <c r="C15" s="18"/>
      <c r="D15" s="18"/>
      <c r="E15" s="18"/>
      <c r="F15" s="18"/>
      <c r="G15" s="18"/>
      <c r="H15" s="18"/>
      <c r="I15" s="18"/>
      <c r="J15" s="18"/>
    </row>
    <row r="16" customFormat="false" ht="15" hidden="false" customHeight="true" outlineLevel="0" collapsed="false">
      <c r="A16" s="11" t="s">
        <v>371</v>
      </c>
      <c r="B16" s="19" t="s">
        <v>205</v>
      </c>
      <c r="C16" s="19" t="s">
        <v>205</v>
      </c>
      <c r="D16" s="19" t="s">
        <v>205</v>
      </c>
      <c r="E16" s="12"/>
      <c r="F16" s="11"/>
    </row>
    <row r="17" customFormat="false" ht="15" hidden="false" customHeight="true" outlineLevel="0" collapsed="false">
      <c r="A17" s="9" t="s">
        <v>372</v>
      </c>
      <c r="B17" s="19" t="s">
        <v>205</v>
      </c>
      <c r="C17" s="19" t="s">
        <v>205</v>
      </c>
      <c r="D17" s="19" t="s">
        <v>205</v>
      </c>
      <c r="E17" s="10"/>
      <c r="F17" s="9"/>
    </row>
    <row r="18" customFormat="false" ht="15" hidden="false" customHeight="true" outlineLevel="0" collapsed="false">
      <c r="A18" s="11" t="s">
        <v>373</v>
      </c>
      <c r="B18" s="19" t="s">
        <v>205</v>
      </c>
      <c r="C18" s="19" t="s">
        <v>205</v>
      </c>
      <c r="D18" s="19" t="s">
        <v>205</v>
      </c>
      <c r="E18" s="12"/>
      <c r="F18" s="11"/>
    </row>
    <row r="19" customFormat="false" ht="15" hidden="false" customHeight="true" outlineLevel="0" collapsed="false">
      <c r="A19" s="9" t="s">
        <v>374</v>
      </c>
      <c r="B19" s="19" t="s">
        <v>205</v>
      </c>
      <c r="C19" s="19" t="s">
        <v>205</v>
      </c>
      <c r="D19" s="19" t="s">
        <v>205</v>
      </c>
      <c r="E19" s="10"/>
      <c r="F19" s="9"/>
    </row>
    <row r="20" customFormat="false" ht="15" hidden="false" customHeight="true" outlineLevel="0" collapsed="false">
      <c r="A20" s="11" t="s">
        <v>375</v>
      </c>
      <c r="B20" s="19" t="s">
        <v>205</v>
      </c>
      <c r="C20" s="19" t="s">
        <v>205</v>
      </c>
      <c r="D20" s="19" t="s">
        <v>205</v>
      </c>
      <c r="E20" s="12"/>
      <c r="F20" s="11"/>
    </row>
    <row r="21" customFormat="false" ht="15" hidden="false" customHeight="true" outlineLevel="0" collapsed="false">
      <c r="A21" s="9" t="s">
        <v>376</v>
      </c>
      <c r="B21" s="19" t="s">
        <v>205</v>
      </c>
      <c r="C21" s="19" t="s">
        <v>205</v>
      </c>
      <c r="D21" s="19" t="s">
        <v>205</v>
      </c>
      <c r="E21" s="10"/>
      <c r="F21" s="9"/>
    </row>
    <row r="22" customFormat="false" ht="15" hidden="false" customHeight="true" outlineLevel="0" collapsed="false">
      <c r="A22" s="11" t="s">
        <v>377</v>
      </c>
      <c r="B22" s="19" t="s">
        <v>205</v>
      </c>
      <c r="C22" s="19" t="s">
        <v>205</v>
      </c>
      <c r="D22" s="19" t="s">
        <v>205</v>
      </c>
      <c r="E22" s="12"/>
      <c r="F22" s="11"/>
    </row>
    <row r="23" customFormat="false" ht="15" hidden="false" customHeight="true" outlineLevel="0" collapsed="false">
      <c r="A23" s="9" t="s">
        <v>378</v>
      </c>
      <c r="B23" s="19" t="s">
        <v>205</v>
      </c>
      <c r="C23" s="19" t="s">
        <v>205</v>
      </c>
      <c r="D23" s="19" t="s">
        <v>205</v>
      </c>
      <c r="E23" s="10"/>
      <c r="F23" s="9"/>
    </row>
    <row r="24" customFormat="false" ht="15" hidden="false" customHeight="true" outlineLevel="0" collapsed="false">
      <c r="A24" s="11" t="s">
        <v>379</v>
      </c>
      <c r="B24" s="19" t="s">
        <v>205</v>
      </c>
      <c r="C24" s="19" t="s">
        <v>205</v>
      </c>
      <c r="D24" s="19" t="s">
        <v>205</v>
      </c>
      <c r="E24" s="12"/>
      <c r="F24" s="11"/>
    </row>
    <row r="25" customFormat="false" ht="15" hidden="false" customHeight="true" outlineLevel="0" collapsed="false">
      <c r="A25" s="9" t="s">
        <v>380</v>
      </c>
      <c r="B25" s="19" t="s">
        <v>205</v>
      </c>
      <c r="C25" s="19" t="s">
        <v>205</v>
      </c>
      <c r="D25" s="19" t="s">
        <v>205</v>
      </c>
      <c r="E25" s="10"/>
      <c r="F25" s="9"/>
    </row>
    <row r="26" customFormat="false" ht="3.75" hidden="false" customHeight="true" outlineLevel="0" collapsed="false"/>
    <row r="27" customFormat="false" ht="16.5" hidden="false" customHeight="true" outlineLevel="0" collapsed="false">
      <c r="A27" s="18" t="s">
        <v>381</v>
      </c>
      <c r="B27" s="18"/>
      <c r="C27" s="18"/>
      <c r="D27" s="18"/>
      <c r="E27" s="18"/>
      <c r="F27" s="18"/>
      <c r="G27" s="18"/>
      <c r="H27" s="18"/>
      <c r="I27" s="18"/>
      <c r="J27" s="18"/>
    </row>
    <row r="28" customFormat="false" ht="15" hidden="false" customHeight="true" outlineLevel="0" collapsed="false">
      <c r="A28" s="11" t="s">
        <v>382</v>
      </c>
      <c r="B28" s="19" t="s">
        <v>205</v>
      </c>
      <c r="C28" s="19" t="s">
        <v>205</v>
      </c>
      <c r="D28" s="19" t="s">
        <v>205</v>
      </c>
      <c r="E28" s="12"/>
      <c r="F28" s="11"/>
    </row>
    <row r="29" customFormat="false" ht="15" hidden="false" customHeight="true" outlineLevel="0" collapsed="false">
      <c r="A29" s="9" t="s">
        <v>383</v>
      </c>
      <c r="B29" s="19" t="s">
        <v>205</v>
      </c>
      <c r="C29" s="19" t="s">
        <v>205</v>
      </c>
      <c r="D29" s="19" t="s">
        <v>205</v>
      </c>
      <c r="E29" s="10"/>
      <c r="F29" s="9"/>
    </row>
    <row r="30" customFormat="false" ht="15" hidden="false" customHeight="true" outlineLevel="0" collapsed="false">
      <c r="A30" s="11" t="s">
        <v>384</v>
      </c>
      <c r="B30" s="19" t="s">
        <v>205</v>
      </c>
      <c r="C30" s="19" t="s">
        <v>205</v>
      </c>
      <c r="D30" s="19" t="s">
        <v>205</v>
      </c>
      <c r="E30" s="12"/>
      <c r="F30" s="11"/>
    </row>
    <row r="31" customFormat="false" ht="15" hidden="false" customHeight="true" outlineLevel="0" collapsed="false">
      <c r="A31" s="9" t="s">
        <v>385</v>
      </c>
      <c r="B31" s="19" t="s">
        <v>205</v>
      </c>
      <c r="C31" s="19" t="s">
        <v>205</v>
      </c>
      <c r="D31" s="19" t="s">
        <v>205</v>
      </c>
      <c r="E31" s="10"/>
      <c r="F31" s="9"/>
    </row>
    <row r="32" customFormat="false" ht="15" hidden="false" customHeight="true" outlineLevel="0" collapsed="false">
      <c r="A32" s="11" t="s">
        <v>386</v>
      </c>
      <c r="B32" s="19" t="s">
        <v>205</v>
      </c>
      <c r="C32" s="19" t="s">
        <v>205</v>
      </c>
      <c r="D32" s="19" t="s">
        <v>205</v>
      </c>
      <c r="E32" s="12"/>
      <c r="F32" s="11"/>
    </row>
    <row r="33" customFormat="false" ht="15" hidden="false" customHeight="true" outlineLevel="0" collapsed="false">
      <c r="A33" s="9" t="s">
        <v>387</v>
      </c>
      <c r="B33" s="19" t="s">
        <v>205</v>
      </c>
      <c r="C33" s="19" t="s">
        <v>205</v>
      </c>
      <c r="D33" s="19" t="s">
        <v>205</v>
      </c>
      <c r="E33" s="10"/>
      <c r="F33" s="9"/>
    </row>
    <row r="34" customFormat="false" ht="3.75" hidden="false" customHeight="true" outlineLevel="0" collapsed="false"/>
    <row r="35" customFormat="false" ht="16.5" hidden="false" customHeight="true" outlineLevel="0" collapsed="false">
      <c r="A35" s="18" t="s">
        <v>388</v>
      </c>
      <c r="B35" s="18"/>
      <c r="C35" s="18"/>
      <c r="D35" s="18"/>
      <c r="E35" s="18"/>
      <c r="F35" s="18"/>
      <c r="G35" s="18"/>
      <c r="H35" s="18"/>
      <c r="I35" s="18"/>
      <c r="J35" s="18"/>
    </row>
    <row r="36" customFormat="false" ht="15" hidden="false" customHeight="true" outlineLevel="0" collapsed="false">
      <c r="A36" s="11" t="s">
        <v>389</v>
      </c>
      <c r="B36" s="19" t="s">
        <v>205</v>
      </c>
      <c r="C36" s="19" t="s">
        <v>205</v>
      </c>
      <c r="D36" s="19" t="s">
        <v>205</v>
      </c>
      <c r="E36" s="12"/>
      <c r="F36" s="11"/>
    </row>
    <row r="37" customFormat="false" ht="15" hidden="false" customHeight="true" outlineLevel="0" collapsed="false">
      <c r="A37" s="9" t="s">
        <v>390</v>
      </c>
      <c r="B37" s="19" t="s">
        <v>205</v>
      </c>
      <c r="C37" s="19" t="s">
        <v>205</v>
      </c>
      <c r="D37" s="19" t="s">
        <v>205</v>
      </c>
      <c r="E37" s="10"/>
      <c r="F37" s="9"/>
    </row>
    <row r="38" customFormat="false" ht="15" hidden="false" customHeight="true" outlineLevel="0" collapsed="false">
      <c r="A38" s="11" t="s">
        <v>391</v>
      </c>
      <c r="B38" s="19" t="s">
        <v>205</v>
      </c>
      <c r="C38" s="19" t="s">
        <v>205</v>
      </c>
      <c r="D38" s="19" t="s">
        <v>205</v>
      </c>
      <c r="E38" s="12"/>
      <c r="F38" s="11"/>
    </row>
    <row r="39" customFormat="false" ht="15" hidden="false" customHeight="true" outlineLevel="0" collapsed="false">
      <c r="A39" s="9" t="s">
        <v>392</v>
      </c>
      <c r="B39" s="19" t="s">
        <v>205</v>
      </c>
      <c r="C39" s="19" t="s">
        <v>205</v>
      </c>
      <c r="D39" s="19" t="s">
        <v>205</v>
      </c>
      <c r="E39" s="10"/>
      <c r="F39" s="9"/>
    </row>
    <row r="40" customFormat="false" ht="15" hidden="false" customHeight="true" outlineLevel="0" collapsed="false">
      <c r="A40" s="11" t="s">
        <v>393</v>
      </c>
      <c r="B40" s="19" t="s">
        <v>205</v>
      </c>
      <c r="C40" s="19" t="s">
        <v>205</v>
      </c>
      <c r="D40" s="19" t="s">
        <v>205</v>
      </c>
      <c r="E40" s="12"/>
      <c r="F40" s="11"/>
    </row>
    <row r="41" customFormat="false" ht="15" hidden="false" customHeight="true" outlineLevel="0" collapsed="false">
      <c r="A41" s="9" t="s">
        <v>394</v>
      </c>
      <c r="B41" s="19" t="s">
        <v>205</v>
      </c>
      <c r="C41" s="19" t="s">
        <v>205</v>
      </c>
      <c r="D41" s="19" t="s">
        <v>205</v>
      </c>
      <c r="E41" s="10"/>
      <c r="F41" s="9"/>
    </row>
    <row r="42" customFormat="false" ht="15" hidden="false" customHeight="true" outlineLevel="0" collapsed="false">
      <c r="A42" s="11" t="s">
        <v>395</v>
      </c>
      <c r="B42" s="19" t="s">
        <v>205</v>
      </c>
      <c r="C42" s="19" t="s">
        <v>205</v>
      </c>
      <c r="D42" s="19" t="s">
        <v>205</v>
      </c>
      <c r="E42" s="12"/>
      <c r="F42" s="11"/>
    </row>
    <row r="43" customFormat="false" ht="15" hidden="false" customHeight="true" outlineLevel="0" collapsed="false">
      <c r="A43" s="9" t="s">
        <v>396</v>
      </c>
      <c r="B43" s="19" t="s">
        <v>205</v>
      </c>
      <c r="C43" s="19" t="s">
        <v>205</v>
      </c>
      <c r="D43" s="19" t="s">
        <v>205</v>
      </c>
      <c r="E43" s="10"/>
      <c r="F43" s="9"/>
    </row>
    <row r="44" customFormat="false" ht="3.75" hidden="false" customHeight="true" outlineLevel="0" collapsed="false"/>
    <row r="45" customFormat="false" ht="16.5" hidden="false" customHeight="true" outlineLevel="0" collapsed="false">
      <c r="A45" s="18" t="s">
        <v>397</v>
      </c>
      <c r="B45" s="18"/>
      <c r="C45" s="18"/>
      <c r="D45" s="18"/>
      <c r="E45" s="18"/>
      <c r="F45" s="18"/>
      <c r="G45" s="18"/>
      <c r="H45" s="18"/>
      <c r="I45" s="18"/>
      <c r="J45" s="18"/>
    </row>
    <row r="46" customFormat="false" ht="15" hidden="false" customHeight="true" outlineLevel="0" collapsed="false">
      <c r="A46" s="11" t="s">
        <v>398</v>
      </c>
      <c r="B46" s="19" t="s">
        <v>205</v>
      </c>
      <c r="C46" s="19" t="s">
        <v>205</v>
      </c>
      <c r="D46" s="19" t="s">
        <v>205</v>
      </c>
      <c r="E46" s="12"/>
      <c r="F46" s="11"/>
    </row>
    <row r="47" customFormat="false" ht="15" hidden="false" customHeight="true" outlineLevel="0" collapsed="false">
      <c r="A47" s="9" t="s">
        <v>399</v>
      </c>
      <c r="B47" s="19" t="s">
        <v>205</v>
      </c>
      <c r="C47" s="19" t="s">
        <v>205</v>
      </c>
      <c r="D47" s="19" t="s">
        <v>205</v>
      </c>
      <c r="E47" s="10"/>
      <c r="F47" s="9"/>
    </row>
    <row r="48" customFormat="false" ht="15" hidden="false" customHeight="true" outlineLevel="0" collapsed="false">
      <c r="A48" s="11" t="s">
        <v>400</v>
      </c>
      <c r="B48" s="19" t="s">
        <v>205</v>
      </c>
      <c r="C48" s="19" t="s">
        <v>205</v>
      </c>
      <c r="D48" s="19" t="s">
        <v>205</v>
      </c>
      <c r="E48" s="12"/>
      <c r="F48" s="11"/>
    </row>
    <row r="49" customFormat="false" ht="15" hidden="false" customHeight="true" outlineLevel="0" collapsed="false">
      <c r="A49" s="9" t="s">
        <v>401</v>
      </c>
      <c r="B49" s="19" t="s">
        <v>205</v>
      </c>
      <c r="C49" s="19" t="s">
        <v>205</v>
      </c>
      <c r="D49" s="19" t="s">
        <v>205</v>
      </c>
      <c r="E49" s="10"/>
      <c r="F49" s="9"/>
    </row>
    <row r="50" customFormat="false" ht="15" hidden="false" customHeight="true" outlineLevel="0" collapsed="false">
      <c r="A50" s="11" t="s">
        <v>402</v>
      </c>
      <c r="B50" s="19" t="s">
        <v>205</v>
      </c>
      <c r="C50" s="19" t="s">
        <v>205</v>
      </c>
      <c r="D50" s="19" t="s">
        <v>205</v>
      </c>
      <c r="E50" s="12"/>
      <c r="F50" s="11"/>
    </row>
    <row r="51" customFormat="false" ht="15" hidden="false" customHeight="true" outlineLevel="0" collapsed="false">
      <c r="A51" s="9" t="s">
        <v>403</v>
      </c>
      <c r="B51" s="19" t="s">
        <v>205</v>
      </c>
      <c r="C51" s="19" t="s">
        <v>205</v>
      </c>
      <c r="D51" s="19" t="s">
        <v>205</v>
      </c>
      <c r="E51" s="10"/>
      <c r="F51" s="9"/>
    </row>
    <row r="52" customFormat="false" ht="3.75" hidden="false" customHeight="true" outlineLevel="0" collapsed="false"/>
    <row r="53" customFormat="false" ht="16.5" hidden="false" customHeight="true" outlineLevel="0" collapsed="false">
      <c r="A53" s="18" t="s">
        <v>262</v>
      </c>
      <c r="B53" s="18"/>
      <c r="C53" s="18"/>
      <c r="D53" s="18"/>
      <c r="E53" s="18"/>
      <c r="F53" s="18"/>
      <c r="G53" s="18"/>
      <c r="H53" s="18"/>
      <c r="I53" s="18"/>
      <c r="J53" s="18"/>
    </row>
    <row r="54" customFormat="false" ht="18" hidden="false" customHeight="true" outlineLevel="0" collapsed="false">
      <c r="A54" s="6" t="s">
        <v>263</v>
      </c>
      <c r="B54" s="6"/>
      <c r="C54" s="6"/>
      <c r="D54" s="6"/>
      <c r="E54" s="20"/>
      <c r="F54" s="20"/>
      <c r="G54" s="20"/>
      <c r="H54" s="20"/>
      <c r="I54" s="20"/>
      <c r="J54" s="20"/>
    </row>
    <row r="55" customFormat="false" ht="18" hidden="false" customHeight="true" outlineLevel="0" collapsed="false">
      <c r="A55" s="6" t="s">
        <v>404</v>
      </c>
      <c r="B55" s="6"/>
      <c r="C55" s="6"/>
      <c r="D55" s="6"/>
      <c r="E55" s="20"/>
      <c r="F55" s="20"/>
      <c r="G55" s="20"/>
      <c r="H55" s="20"/>
      <c r="I55" s="20"/>
      <c r="J55" s="20"/>
    </row>
    <row r="56" customFormat="false" ht="18" hidden="false" customHeight="true" outlineLevel="0" collapsed="false">
      <c r="A56" s="6" t="s">
        <v>264</v>
      </c>
      <c r="B56" s="6"/>
      <c r="C56" s="6"/>
      <c r="D56" s="6"/>
      <c r="E56" s="20"/>
      <c r="F56" s="20"/>
      <c r="G56" s="20"/>
      <c r="H56" s="20"/>
      <c r="I56" s="20"/>
      <c r="J56" s="20"/>
    </row>
    <row r="57" customFormat="false" ht="18" hidden="false" customHeight="true" outlineLevel="0" collapsed="false">
      <c r="A57" s="6" t="s">
        <v>266</v>
      </c>
      <c r="B57" s="6"/>
      <c r="C57" s="6"/>
      <c r="D57" s="6"/>
      <c r="E57" s="20"/>
      <c r="F57" s="20"/>
      <c r="G57" s="20"/>
      <c r="H57" s="20"/>
      <c r="I57" s="20"/>
      <c r="J57" s="20"/>
    </row>
    <row r="58" customFormat="false" ht="4.5" hidden="false" customHeight="true" outlineLevel="0" collapsed="false"/>
    <row r="59" customFormat="false" ht="18" hidden="false" customHeight="true" outlineLevel="0" collapsed="false">
      <c r="A59" s="13" t="s">
        <v>70</v>
      </c>
      <c r="B59" s="13"/>
      <c r="C59" s="13"/>
      <c r="D59" s="13"/>
      <c r="E59" s="13"/>
      <c r="F59" s="13"/>
      <c r="G59" s="13"/>
      <c r="H59" s="13"/>
      <c r="I59" s="13"/>
      <c r="J59" s="13"/>
    </row>
  </sheetData>
  <mergeCells count="27">
    <mergeCell ref="A1:E1"/>
    <mergeCell ref="F1:J1"/>
    <mergeCell ref="A2:J2"/>
    <mergeCell ref="A3:C3"/>
    <mergeCell ref="E3:G3"/>
    <mergeCell ref="I3:J3"/>
    <mergeCell ref="A4:C4"/>
    <mergeCell ref="E4:G4"/>
    <mergeCell ref="I4:J4"/>
    <mergeCell ref="A5:C5"/>
    <mergeCell ref="E5:G5"/>
    <mergeCell ref="I5:J5"/>
    <mergeCell ref="A8:J8"/>
    <mergeCell ref="A15:J15"/>
    <mergeCell ref="A27:J27"/>
    <mergeCell ref="A35:J35"/>
    <mergeCell ref="A45:J45"/>
    <mergeCell ref="A53:J53"/>
    <mergeCell ref="A54:D54"/>
    <mergeCell ref="E54:J54"/>
    <mergeCell ref="A55:D55"/>
    <mergeCell ref="E55:J55"/>
    <mergeCell ref="A56:D56"/>
    <mergeCell ref="E56:J56"/>
    <mergeCell ref="A57:D57"/>
    <mergeCell ref="E57:J57"/>
    <mergeCell ref="A59:J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8"/>
    <col collapsed="false" customWidth="true" hidden="false" outlineLevel="0" max="4" min="4" style="0" width="7"/>
    <col collapsed="false" customWidth="true" hidden="false" outlineLevel="0" max="5" min="5" style="0" width="14"/>
    <col collapsed="false" customWidth="true" hidden="false" outlineLevel="0" max="6" min="6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</row>
    <row r="2" customFormat="false" ht="21.75" hidden="false" customHeight="true" outlineLevel="0" collapsed="false">
      <c r="A2" s="5" t="s">
        <v>405</v>
      </c>
      <c r="B2" s="5"/>
      <c r="C2" s="5"/>
      <c r="D2" s="5"/>
      <c r="E2" s="5"/>
      <c r="F2" s="5"/>
      <c r="G2" s="5"/>
      <c r="H2" s="5"/>
      <c r="I2" s="5"/>
      <c r="J2" s="5"/>
    </row>
    <row r="3" customFormat="false" ht="15" hidden="false" customHeight="true" outlineLevel="0" collapsed="false">
      <c r="A3" s="6" t="s">
        <v>188</v>
      </c>
      <c r="B3" s="6"/>
      <c r="C3" s="6"/>
      <c r="D3" s="7"/>
      <c r="E3" s="6" t="s">
        <v>189</v>
      </c>
      <c r="F3" s="6"/>
      <c r="G3" s="6"/>
      <c r="H3" s="7"/>
      <c r="I3" s="6" t="s">
        <v>190</v>
      </c>
      <c r="J3" s="6"/>
    </row>
    <row r="4" customFormat="false" ht="15" hidden="false" customHeight="true" outlineLevel="0" collapsed="false">
      <c r="A4" s="6" t="s">
        <v>406</v>
      </c>
      <c r="B4" s="6"/>
      <c r="C4" s="6"/>
      <c r="D4" s="7"/>
      <c r="E4" s="6" t="s">
        <v>192</v>
      </c>
      <c r="F4" s="6"/>
      <c r="G4" s="6"/>
      <c r="H4" s="7"/>
      <c r="I4" s="6" t="s">
        <v>193</v>
      </c>
      <c r="J4" s="6"/>
    </row>
    <row r="5" customFormat="false" ht="15" hidden="false" customHeight="true" outlineLevel="0" collapsed="false">
      <c r="A5" s="6" t="s">
        <v>407</v>
      </c>
      <c r="B5" s="6"/>
      <c r="C5" s="6"/>
      <c r="D5" s="7"/>
      <c r="E5" s="6" t="s">
        <v>195</v>
      </c>
      <c r="F5" s="6"/>
      <c r="G5" s="6"/>
      <c r="H5" s="7"/>
      <c r="I5" s="6" t="s">
        <v>196</v>
      </c>
      <c r="J5" s="6"/>
    </row>
    <row r="6" customFormat="false" ht="4.5" hidden="false" customHeight="true" outlineLevel="0" collapsed="false"/>
    <row r="7" customFormat="false" ht="18" hidden="false" customHeight="true" outlineLevel="0" collapsed="false">
      <c r="A7" s="8" t="s">
        <v>197</v>
      </c>
      <c r="B7" s="8" t="s">
        <v>198</v>
      </c>
      <c r="C7" s="8" t="s">
        <v>199</v>
      </c>
      <c r="D7" s="8" t="s">
        <v>200</v>
      </c>
      <c r="E7" s="8" t="s">
        <v>201</v>
      </c>
      <c r="F7" s="8" t="s">
        <v>202</v>
      </c>
    </row>
    <row r="8" customFormat="false" ht="16.5" hidden="false" customHeight="true" outlineLevel="0" collapsed="false">
      <c r="A8" s="18" t="s">
        <v>408</v>
      </c>
      <c r="B8" s="18"/>
      <c r="C8" s="18"/>
      <c r="D8" s="18"/>
      <c r="E8" s="18"/>
      <c r="F8" s="18"/>
      <c r="G8" s="18"/>
      <c r="H8" s="18"/>
      <c r="I8" s="18"/>
      <c r="J8" s="18"/>
    </row>
    <row r="9" customFormat="false" ht="15" hidden="false" customHeight="true" outlineLevel="0" collapsed="false">
      <c r="A9" s="11" t="s">
        <v>409</v>
      </c>
      <c r="B9" s="19" t="s">
        <v>205</v>
      </c>
      <c r="C9" s="19" t="s">
        <v>205</v>
      </c>
      <c r="D9" s="19" t="s">
        <v>205</v>
      </c>
      <c r="E9" s="12"/>
      <c r="F9" s="11"/>
    </row>
    <row r="10" customFormat="false" ht="15" hidden="false" customHeight="true" outlineLevel="0" collapsed="false">
      <c r="A10" s="9" t="s">
        <v>410</v>
      </c>
      <c r="B10" s="19" t="s">
        <v>205</v>
      </c>
      <c r="C10" s="19" t="s">
        <v>205</v>
      </c>
      <c r="D10" s="19" t="s">
        <v>205</v>
      </c>
      <c r="E10" s="10"/>
      <c r="F10" s="9"/>
    </row>
    <row r="11" customFormat="false" ht="15" hidden="false" customHeight="true" outlineLevel="0" collapsed="false">
      <c r="A11" s="11" t="s">
        <v>411</v>
      </c>
      <c r="B11" s="19" t="s">
        <v>205</v>
      </c>
      <c r="C11" s="19" t="s">
        <v>205</v>
      </c>
      <c r="D11" s="19" t="s">
        <v>205</v>
      </c>
      <c r="E11" s="12"/>
      <c r="F11" s="11"/>
    </row>
    <row r="12" customFormat="false" ht="15" hidden="false" customHeight="true" outlineLevel="0" collapsed="false">
      <c r="A12" s="9" t="s">
        <v>412</v>
      </c>
      <c r="B12" s="19" t="s">
        <v>205</v>
      </c>
      <c r="C12" s="19" t="s">
        <v>205</v>
      </c>
      <c r="D12" s="19" t="s">
        <v>205</v>
      </c>
      <c r="E12" s="10"/>
      <c r="F12" s="9"/>
    </row>
    <row r="13" customFormat="false" ht="15" hidden="false" customHeight="true" outlineLevel="0" collapsed="false">
      <c r="A13" s="11" t="s">
        <v>413</v>
      </c>
      <c r="B13" s="19" t="s">
        <v>205</v>
      </c>
      <c r="C13" s="19" t="s">
        <v>205</v>
      </c>
      <c r="D13" s="19" t="s">
        <v>205</v>
      </c>
      <c r="E13" s="12"/>
      <c r="F13" s="11"/>
    </row>
    <row r="14" customFormat="false" ht="15" hidden="false" customHeight="true" outlineLevel="0" collapsed="false">
      <c r="A14" s="9" t="s">
        <v>414</v>
      </c>
      <c r="B14" s="19" t="s">
        <v>205</v>
      </c>
      <c r="C14" s="19" t="s">
        <v>205</v>
      </c>
      <c r="D14" s="19" t="s">
        <v>205</v>
      </c>
      <c r="E14" s="10"/>
      <c r="F14" s="9"/>
    </row>
    <row r="15" customFormat="false" ht="15" hidden="false" customHeight="true" outlineLevel="0" collapsed="false">
      <c r="A15" s="11" t="s">
        <v>415</v>
      </c>
      <c r="B15" s="19" t="s">
        <v>205</v>
      </c>
      <c r="C15" s="19" t="s">
        <v>205</v>
      </c>
      <c r="D15" s="19" t="s">
        <v>205</v>
      </c>
      <c r="E15" s="12"/>
      <c r="F15" s="11"/>
    </row>
    <row r="16" customFormat="false" ht="15" hidden="false" customHeight="true" outlineLevel="0" collapsed="false">
      <c r="A16" s="9" t="s">
        <v>416</v>
      </c>
      <c r="B16" s="19" t="s">
        <v>205</v>
      </c>
      <c r="C16" s="19" t="s">
        <v>205</v>
      </c>
      <c r="D16" s="19" t="s">
        <v>205</v>
      </c>
      <c r="E16" s="10"/>
      <c r="F16" s="9"/>
    </row>
    <row r="17" customFormat="false" ht="15" hidden="false" customHeight="true" outlineLevel="0" collapsed="false">
      <c r="A17" s="11" t="s">
        <v>417</v>
      </c>
      <c r="B17" s="19" t="s">
        <v>205</v>
      </c>
      <c r="C17" s="19" t="s">
        <v>205</v>
      </c>
      <c r="D17" s="19" t="s">
        <v>205</v>
      </c>
      <c r="E17" s="12"/>
      <c r="F17" s="11"/>
    </row>
    <row r="18" customFormat="false" ht="15" hidden="false" customHeight="true" outlineLevel="0" collapsed="false">
      <c r="A18" s="9" t="s">
        <v>418</v>
      </c>
      <c r="B18" s="19" t="s">
        <v>205</v>
      </c>
      <c r="C18" s="19" t="s">
        <v>205</v>
      </c>
      <c r="D18" s="19" t="s">
        <v>205</v>
      </c>
      <c r="E18" s="10"/>
      <c r="F18" s="9"/>
    </row>
    <row r="19" customFormat="false" ht="15" hidden="false" customHeight="true" outlineLevel="0" collapsed="false">
      <c r="A19" s="11" t="s">
        <v>419</v>
      </c>
      <c r="B19" s="19" t="s">
        <v>205</v>
      </c>
      <c r="C19" s="19" t="s">
        <v>205</v>
      </c>
      <c r="D19" s="19" t="s">
        <v>205</v>
      </c>
      <c r="E19" s="12"/>
      <c r="F19" s="11"/>
    </row>
    <row r="20" customFormat="false" ht="15" hidden="false" customHeight="true" outlineLevel="0" collapsed="false">
      <c r="A20" s="9" t="s">
        <v>420</v>
      </c>
      <c r="B20" s="19" t="s">
        <v>205</v>
      </c>
      <c r="C20" s="19" t="s">
        <v>205</v>
      </c>
      <c r="D20" s="19" t="s">
        <v>205</v>
      </c>
      <c r="E20" s="10"/>
      <c r="F20" s="9"/>
    </row>
    <row r="21" customFormat="false" ht="15" hidden="false" customHeight="true" outlineLevel="0" collapsed="false">
      <c r="A21" s="11" t="s">
        <v>421</v>
      </c>
      <c r="B21" s="19" t="s">
        <v>205</v>
      </c>
      <c r="C21" s="19" t="s">
        <v>205</v>
      </c>
      <c r="D21" s="19" t="s">
        <v>205</v>
      </c>
      <c r="E21" s="12"/>
      <c r="F21" s="11"/>
    </row>
    <row r="22" customFormat="false" ht="15" hidden="false" customHeight="true" outlineLevel="0" collapsed="false">
      <c r="A22" s="9" t="s">
        <v>422</v>
      </c>
      <c r="B22" s="19" t="s">
        <v>205</v>
      </c>
      <c r="C22" s="19" t="s">
        <v>205</v>
      </c>
      <c r="D22" s="19" t="s">
        <v>205</v>
      </c>
      <c r="E22" s="10"/>
      <c r="F22" s="9"/>
    </row>
    <row r="23" customFormat="false" ht="3.75" hidden="false" customHeight="true" outlineLevel="0" collapsed="false"/>
    <row r="24" customFormat="false" ht="16.5" hidden="false" customHeight="true" outlineLevel="0" collapsed="false">
      <c r="A24" s="18" t="s">
        <v>423</v>
      </c>
      <c r="B24" s="18"/>
      <c r="C24" s="18"/>
      <c r="D24" s="18"/>
      <c r="E24" s="18"/>
      <c r="F24" s="18"/>
      <c r="G24" s="18"/>
      <c r="H24" s="18"/>
      <c r="I24" s="18"/>
      <c r="J24" s="18"/>
    </row>
    <row r="25" customFormat="false" ht="15" hidden="false" customHeight="true" outlineLevel="0" collapsed="false">
      <c r="A25" s="11" t="s">
        <v>424</v>
      </c>
      <c r="B25" s="19" t="s">
        <v>205</v>
      </c>
      <c r="C25" s="19" t="s">
        <v>205</v>
      </c>
      <c r="D25" s="19" t="s">
        <v>205</v>
      </c>
      <c r="E25" s="12"/>
      <c r="F25" s="11"/>
    </row>
    <row r="26" customFormat="false" ht="15" hidden="false" customHeight="true" outlineLevel="0" collapsed="false">
      <c r="A26" s="9" t="s">
        <v>425</v>
      </c>
      <c r="B26" s="19" t="s">
        <v>205</v>
      </c>
      <c r="C26" s="19" t="s">
        <v>205</v>
      </c>
      <c r="D26" s="19" t="s">
        <v>205</v>
      </c>
      <c r="E26" s="10"/>
      <c r="F26" s="9"/>
    </row>
    <row r="27" customFormat="false" ht="15" hidden="false" customHeight="true" outlineLevel="0" collapsed="false">
      <c r="A27" s="11" t="s">
        <v>426</v>
      </c>
      <c r="B27" s="19" t="s">
        <v>205</v>
      </c>
      <c r="C27" s="19" t="s">
        <v>205</v>
      </c>
      <c r="D27" s="19" t="s">
        <v>205</v>
      </c>
      <c r="E27" s="12"/>
      <c r="F27" s="11"/>
    </row>
    <row r="28" customFormat="false" ht="15" hidden="false" customHeight="true" outlineLevel="0" collapsed="false">
      <c r="A28" s="9" t="s">
        <v>427</v>
      </c>
      <c r="B28" s="19" t="s">
        <v>205</v>
      </c>
      <c r="C28" s="19" t="s">
        <v>205</v>
      </c>
      <c r="D28" s="19" t="s">
        <v>205</v>
      </c>
      <c r="E28" s="10"/>
      <c r="F28" s="9"/>
    </row>
    <row r="29" customFormat="false" ht="15" hidden="false" customHeight="true" outlineLevel="0" collapsed="false">
      <c r="A29" s="11" t="s">
        <v>428</v>
      </c>
      <c r="B29" s="19" t="s">
        <v>205</v>
      </c>
      <c r="C29" s="19" t="s">
        <v>205</v>
      </c>
      <c r="D29" s="19" t="s">
        <v>205</v>
      </c>
      <c r="E29" s="12"/>
      <c r="F29" s="11"/>
    </row>
    <row r="30" customFormat="false" ht="15" hidden="false" customHeight="true" outlineLevel="0" collapsed="false">
      <c r="A30" s="9" t="s">
        <v>288</v>
      </c>
      <c r="B30" s="19" t="s">
        <v>205</v>
      </c>
      <c r="C30" s="19" t="s">
        <v>205</v>
      </c>
      <c r="D30" s="19" t="s">
        <v>205</v>
      </c>
      <c r="E30" s="10"/>
      <c r="F30" s="9"/>
    </row>
    <row r="31" customFormat="false" ht="15" hidden="false" customHeight="true" outlineLevel="0" collapsed="false">
      <c r="A31" s="11" t="s">
        <v>289</v>
      </c>
      <c r="B31" s="19" t="s">
        <v>205</v>
      </c>
      <c r="C31" s="19" t="s">
        <v>205</v>
      </c>
      <c r="D31" s="19" t="s">
        <v>205</v>
      </c>
      <c r="E31" s="12"/>
      <c r="F31" s="11"/>
    </row>
    <row r="32" customFormat="false" ht="15" hidden="false" customHeight="true" outlineLevel="0" collapsed="false">
      <c r="A32" s="9" t="s">
        <v>330</v>
      </c>
      <c r="B32" s="19" t="s">
        <v>205</v>
      </c>
      <c r="C32" s="19" t="s">
        <v>205</v>
      </c>
      <c r="D32" s="19" t="s">
        <v>205</v>
      </c>
      <c r="E32" s="10"/>
      <c r="F32" s="9"/>
    </row>
    <row r="33" customFormat="false" ht="15" hidden="false" customHeight="true" outlineLevel="0" collapsed="false">
      <c r="A33" s="11" t="s">
        <v>331</v>
      </c>
      <c r="B33" s="19" t="s">
        <v>205</v>
      </c>
      <c r="C33" s="19" t="s">
        <v>205</v>
      </c>
      <c r="D33" s="19" t="s">
        <v>205</v>
      </c>
      <c r="E33" s="12"/>
      <c r="F33" s="11"/>
    </row>
    <row r="34" customFormat="false" ht="15" hidden="false" customHeight="true" outlineLevel="0" collapsed="false">
      <c r="A34" s="9" t="s">
        <v>429</v>
      </c>
      <c r="B34" s="19" t="s">
        <v>205</v>
      </c>
      <c r="C34" s="19" t="s">
        <v>205</v>
      </c>
      <c r="D34" s="19" t="s">
        <v>205</v>
      </c>
      <c r="E34" s="10"/>
      <c r="F34" s="9"/>
    </row>
    <row r="35" customFormat="false" ht="15" hidden="false" customHeight="true" outlineLevel="0" collapsed="false">
      <c r="A35" s="11" t="s">
        <v>336</v>
      </c>
      <c r="B35" s="19" t="s">
        <v>205</v>
      </c>
      <c r="C35" s="19" t="s">
        <v>205</v>
      </c>
      <c r="D35" s="19" t="s">
        <v>205</v>
      </c>
      <c r="E35" s="12"/>
      <c r="F35" s="11"/>
    </row>
    <row r="36" customFormat="false" ht="15" hidden="false" customHeight="true" outlineLevel="0" collapsed="false">
      <c r="A36" s="9" t="s">
        <v>430</v>
      </c>
      <c r="B36" s="19" t="s">
        <v>205</v>
      </c>
      <c r="C36" s="19" t="s">
        <v>205</v>
      </c>
      <c r="D36" s="19" t="s">
        <v>205</v>
      </c>
      <c r="E36" s="10"/>
      <c r="F36" s="9"/>
    </row>
    <row r="37" customFormat="false" ht="15" hidden="false" customHeight="true" outlineLevel="0" collapsed="false">
      <c r="A37" s="11" t="s">
        <v>431</v>
      </c>
      <c r="B37" s="19" t="s">
        <v>205</v>
      </c>
      <c r="C37" s="19" t="s">
        <v>205</v>
      </c>
      <c r="D37" s="19" t="s">
        <v>205</v>
      </c>
      <c r="E37" s="12"/>
      <c r="F37" s="11"/>
    </row>
    <row r="38" customFormat="false" ht="3.75" hidden="false" customHeight="true" outlineLevel="0" collapsed="false"/>
    <row r="39" customFormat="false" ht="16.5" hidden="false" customHeight="true" outlineLevel="0" collapsed="false">
      <c r="A39" s="18" t="s">
        <v>432</v>
      </c>
      <c r="B39" s="18"/>
      <c r="C39" s="18"/>
      <c r="D39" s="18"/>
      <c r="E39" s="18"/>
      <c r="F39" s="18"/>
      <c r="G39" s="18"/>
      <c r="H39" s="18"/>
      <c r="I39" s="18"/>
      <c r="J39" s="18"/>
    </row>
    <row r="40" customFormat="false" ht="15" hidden="false" customHeight="true" outlineLevel="0" collapsed="false">
      <c r="A40" s="11" t="s">
        <v>433</v>
      </c>
      <c r="B40" s="19" t="s">
        <v>205</v>
      </c>
      <c r="C40" s="19" t="s">
        <v>205</v>
      </c>
      <c r="D40" s="19" t="s">
        <v>205</v>
      </c>
      <c r="E40" s="12"/>
      <c r="F40" s="11"/>
    </row>
    <row r="41" customFormat="false" ht="15" hidden="false" customHeight="true" outlineLevel="0" collapsed="false">
      <c r="A41" s="9" t="s">
        <v>434</v>
      </c>
      <c r="B41" s="19" t="s">
        <v>205</v>
      </c>
      <c r="C41" s="19" t="s">
        <v>205</v>
      </c>
      <c r="D41" s="19" t="s">
        <v>205</v>
      </c>
      <c r="E41" s="10"/>
      <c r="F41" s="9"/>
    </row>
    <row r="42" customFormat="false" ht="15" hidden="false" customHeight="true" outlineLevel="0" collapsed="false">
      <c r="A42" s="11" t="s">
        <v>435</v>
      </c>
      <c r="B42" s="19" t="s">
        <v>205</v>
      </c>
      <c r="C42" s="19" t="s">
        <v>205</v>
      </c>
      <c r="D42" s="19" t="s">
        <v>205</v>
      </c>
      <c r="E42" s="12"/>
      <c r="F42" s="11"/>
    </row>
    <row r="43" customFormat="false" ht="15" hidden="false" customHeight="true" outlineLevel="0" collapsed="false">
      <c r="A43" s="9" t="s">
        <v>436</v>
      </c>
      <c r="B43" s="19" t="s">
        <v>205</v>
      </c>
      <c r="C43" s="19" t="s">
        <v>205</v>
      </c>
      <c r="D43" s="19" t="s">
        <v>205</v>
      </c>
      <c r="E43" s="10"/>
      <c r="F43" s="9"/>
    </row>
    <row r="44" customFormat="false" ht="15" hidden="false" customHeight="true" outlineLevel="0" collapsed="false">
      <c r="A44" s="11" t="s">
        <v>437</v>
      </c>
      <c r="B44" s="19" t="s">
        <v>205</v>
      </c>
      <c r="C44" s="19" t="s">
        <v>205</v>
      </c>
      <c r="D44" s="19" t="s">
        <v>205</v>
      </c>
      <c r="E44" s="12"/>
      <c r="F44" s="11"/>
    </row>
    <row r="45" customFormat="false" ht="15" hidden="false" customHeight="true" outlineLevel="0" collapsed="false">
      <c r="A45" s="9" t="s">
        <v>438</v>
      </c>
      <c r="B45" s="19" t="s">
        <v>205</v>
      </c>
      <c r="C45" s="19" t="s">
        <v>205</v>
      </c>
      <c r="D45" s="19" t="s">
        <v>205</v>
      </c>
      <c r="E45" s="10"/>
      <c r="F45" s="9"/>
    </row>
    <row r="46" customFormat="false" ht="3.75" hidden="false" customHeight="true" outlineLevel="0" collapsed="false"/>
    <row r="47" customFormat="false" ht="16.5" hidden="false" customHeight="true" outlineLevel="0" collapsed="false">
      <c r="A47" s="18" t="s">
        <v>262</v>
      </c>
      <c r="B47" s="18"/>
      <c r="C47" s="18"/>
      <c r="D47" s="18"/>
      <c r="E47" s="18"/>
      <c r="F47" s="18"/>
      <c r="G47" s="18"/>
      <c r="H47" s="18"/>
      <c r="I47" s="18"/>
      <c r="J47" s="18"/>
    </row>
    <row r="48" customFormat="false" ht="18" hidden="false" customHeight="true" outlineLevel="0" collapsed="false">
      <c r="A48" s="6" t="s">
        <v>263</v>
      </c>
      <c r="B48" s="6"/>
      <c r="C48" s="6"/>
      <c r="D48" s="6"/>
      <c r="E48" s="20"/>
      <c r="F48" s="20"/>
      <c r="G48" s="20"/>
      <c r="H48" s="20"/>
      <c r="I48" s="20"/>
      <c r="J48" s="20"/>
    </row>
    <row r="49" customFormat="false" ht="18" hidden="false" customHeight="true" outlineLevel="0" collapsed="false">
      <c r="A49" s="6" t="s">
        <v>264</v>
      </c>
      <c r="B49" s="6"/>
      <c r="C49" s="6"/>
      <c r="D49" s="6"/>
      <c r="E49" s="20"/>
      <c r="F49" s="20"/>
      <c r="G49" s="20"/>
      <c r="H49" s="20"/>
      <c r="I49" s="20"/>
      <c r="J49" s="20"/>
    </row>
    <row r="50" customFormat="false" ht="18" hidden="false" customHeight="true" outlineLevel="0" collapsed="false">
      <c r="A50" s="6" t="s">
        <v>265</v>
      </c>
      <c r="B50" s="6"/>
      <c r="C50" s="6"/>
      <c r="D50" s="6"/>
      <c r="E50" s="20"/>
      <c r="F50" s="20"/>
      <c r="G50" s="20"/>
      <c r="H50" s="20"/>
      <c r="I50" s="20"/>
      <c r="J50" s="20"/>
    </row>
    <row r="51" customFormat="false" ht="18" hidden="false" customHeight="true" outlineLevel="0" collapsed="false">
      <c r="A51" s="6" t="s">
        <v>266</v>
      </c>
      <c r="B51" s="6"/>
      <c r="C51" s="6"/>
      <c r="D51" s="6"/>
      <c r="E51" s="20"/>
      <c r="F51" s="20"/>
      <c r="G51" s="20"/>
      <c r="H51" s="20"/>
      <c r="I51" s="20"/>
      <c r="J51" s="20"/>
    </row>
    <row r="52" customFormat="false" ht="4.5" hidden="false" customHeight="true" outlineLevel="0" collapsed="false"/>
    <row r="53" customFormat="false" ht="18" hidden="false" customHeight="true" outlineLevel="0" collapsed="false">
      <c r="A53" s="13" t="s">
        <v>70</v>
      </c>
      <c r="B53" s="13"/>
      <c r="C53" s="13"/>
      <c r="D53" s="13"/>
      <c r="E53" s="13"/>
      <c r="F53" s="13"/>
      <c r="G53" s="13"/>
      <c r="H53" s="13"/>
      <c r="I53" s="13"/>
      <c r="J53" s="13"/>
    </row>
  </sheetData>
  <mergeCells count="25">
    <mergeCell ref="A1:E1"/>
    <mergeCell ref="F1:J1"/>
    <mergeCell ref="A2:J2"/>
    <mergeCell ref="A3:C3"/>
    <mergeCell ref="E3:G3"/>
    <mergeCell ref="I3:J3"/>
    <mergeCell ref="A4:C4"/>
    <mergeCell ref="E4:G4"/>
    <mergeCell ref="I4:J4"/>
    <mergeCell ref="A5:C5"/>
    <mergeCell ref="E5:G5"/>
    <mergeCell ref="I5:J5"/>
    <mergeCell ref="A8:J8"/>
    <mergeCell ref="A24:J24"/>
    <mergeCell ref="A39:J39"/>
    <mergeCell ref="A47:J47"/>
    <mergeCell ref="A48:D48"/>
    <mergeCell ref="E48:J48"/>
    <mergeCell ref="A49:D49"/>
    <mergeCell ref="E49:J49"/>
    <mergeCell ref="A50:D50"/>
    <mergeCell ref="E50:J50"/>
    <mergeCell ref="A51:D51"/>
    <mergeCell ref="E51:J51"/>
    <mergeCell ref="A53:J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10" min="5" style="0" width="10"/>
    <col collapsed="false" customWidth="true" hidden="false" outlineLevel="0" max="12" min="11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</row>
    <row r="2" customFormat="false" ht="21.75" hidden="false" customHeight="true" outlineLevel="0" collapsed="false">
      <c r="A2" s="5" t="s">
        <v>439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customFormat="false" ht="18" hidden="false" customHeight="true" outlineLevel="0" collapsed="false">
      <c r="A3" s="15" t="s">
        <v>440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customFormat="false" ht="18" hidden="false" customHeight="true" outlineLevel="0" collapsed="false">
      <c r="A4" s="8" t="s">
        <v>441</v>
      </c>
      <c r="B4" s="8" t="s">
        <v>442</v>
      </c>
      <c r="C4" s="8" t="s">
        <v>443</v>
      </c>
      <c r="D4" s="8" t="s">
        <v>444</v>
      </c>
      <c r="E4" s="8" t="s">
        <v>445</v>
      </c>
      <c r="F4" s="8" t="s">
        <v>446</v>
      </c>
      <c r="G4" s="8" t="s">
        <v>447</v>
      </c>
      <c r="H4" s="8" t="s">
        <v>448</v>
      </c>
      <c r="I4" s="8" t="s">
        <v>449</v>
      </c>
      <c r="J4" s="8" t="s">
        <v>450</v>
      </c>
      <c r="K4" s="8" t="s">
        <v>451</v>
      </c>
      <c r="L4" s="8" t="s">
        <v>452</v>
      </c>
    </row>
    <row r="5" customFormat="false" ht="15" hidden="false" customHeight="true" outlineLevel="0" collapsed="false">
      <c r="A5" s="12"/>
      <c r="B5" s="12"/>
      <c r="C5" s="12"/>
      <c r="D5" s="12"/>
      <c r="E5" s="12"/>
      <c r="F5" s="12"/>
      <c r="G5" s="12"/>
      <c r="H5" s="12" t="str">
        <f aca="false">IF(AND(F5="",G5=""),"",IF(F5="",0,F5)-IF(G5="",0,G5))</f>
        <v/>
      </c>
      <c r="I5" s="12"/>
      <c r="J5" s="12"/>
      <c r="K5" s="12"/>
      <c r="L5" s="12"/>
    </row>
    <row r="6" customFormat="false" ht="15" hidden="false" customHeight="true" outlineLevel="0" collapsed="false">
      <c r="A6" s="10"/>
      <c r="B6" s="10"/>
      <c r="C6" s="10"/>
      <c r="D6" s="10"/>
      <c r="E6" s="10"/>
      <c r="F6" s="10"/>
      <c r="G6" s="10"/>
      <c r="H6" s="10" t="str">
        <f aca="false">IF(AND(F6="",G6=""),"",IF(F6="",0,F6)-IF(G6="",0,G6))</f>
        <v/>
      </c>
      <c r="I6" s="10"/>
      <c r="J6" s="10"/>
      <c r="K6" s="10"/>
      <c r="L6" s="10"/>
    </row>
    <row r="7" customFormat="false" ht="15" hidden="false" customHeight="true" outlineLevel="0" collapsed="false">
      <c r="A7" s="12"/>
      <c r="B7" s="12"/>
      <c r="C7" s="12"/>
      <c r="D7" s="12"/>
      <c r="E7" s="12"/>
      <c r="F7" s="12"/>
      <c r="G7" s="12"/>
      <c r="H7" s="12" t="str">
        <f aca="false">IF(AND(F7="",G7=""),"",IF(F7="",0,F7)-IF(G7="",0,G7))</f>
        <v/>
      </c>
      <c r="I7" s="12"/>
      <c r="J7" s="12"/>
      <c r="K7" s="12"/>
      <c r="L7" s="12"/>
    </row>
    <row r="8" customFormat="false" ht="15" hidden="false" customHeight="true" outlineLevel="0" collapsed="false">
      <c r="A8" s="10"/>
      <c r="B8" s="10"/>
      <c r="C8" s="10"/>
      <c r="D8" s="10"/>
      <c r="E8" s="10"/>
      <c r="F8" s="10"/>
      <c r="G8" s="10"/>
      <c r="H8" s="10" t="str">
        <f aca="false">IF(AND(F8="",G8=""),"",IF(F8="",0,F8)-IF(G8="",0,G8))</f>
        <v/>
      </c>
      <c r="I8" s="10"/>
      <c r="J8" s="10"/>
      <c r="K8" s="10"/>
      <c r="L8" s="10"/>
    </row>
    <row r="9" customFormat="false" ht="15" hidden="false" customHeight="true" outlineLevel="0" collapsed="false">
      <c r="A9" s="12"/>
      <c r="B9" s="12"/>
      <c r="C9" s="12"/>
      <c r="D9" s="12"/>
      <c r="E9" s="12"/>
      <c r="F9" s="12"/>
      <c r="G9" s="12"/>
      <c r="H9" s="12" t="str">
        <f aca="false">IF(AND(F9="",G9=""),"",IF(F9="",0,F9)-IF(G9="",0,G9))</f>
        <v/>
      </c>
      <c r="I9" s="12"/>
      <c r="J9" s="12"/>
      <c r="K9" s="12"/>
      <c r="L9" s="12"/>
    </row>
    <row r="10" customFormat="false" ht="15" hidden="false" customHeight="true" outlineLevel="0" collapsed="false">
      <c r="A10" s="10"/>
      <c r="B10" s="10"/>
      <c r="C10" s="10"/>
      <c r="D10" s="10"/>
      <c r="E10" s="10"/>
      <c r="F10" s="10"/>
      <c r="G10" s="10"/>
      <c r="H10" s="10" t="str">
        <f aca="false">IF(AND(F10="",G10=""),"",IF(F10="",0,F10)-IF(G10="",0,G10))</f>
        <v/>
      </c>
      <c r="I10" s="10"/>
      <c r="J10" s="10"/>
      <c r="K10" s="10"/>
      <c r="L10" s="10"/>
    </row>
    <row r="11" customFormat="false" ht="15" hidden="false" customHeight="true" outlineLevel="0" collapsed="false">
      <c r="A11" s="12"/>
      <c r="B11" s="12"/>
      <c r="C11" s="12"/>
      <c r="D11" s="12"/>
      <c r="E11" s="12"/>
      <c r="F11" s="12"/>
      <c r="G11" s="12"/>
      <c r="H11" s="12" t="str">
        <f aca="false">IF(AND(F11="",G11=""),"",IF(F11="",0,F11)-IF(G11="",0,G11))</f>
        <v/>
      </c>
      <c r="I11" s="12"/>
      <c r="J11" s="12"/>
      <c r="K11" s="12"/>
      <c r="L11" s="12"/>
    </row>
    <row r="12" customFormat="false" ht="15" hidden="false" customHeight="true" outlineLevel="0" collapsed="false">
      <c r="A12" s="10"/>
      <c r="B12" s="10"/>
      <c r="C12" s="10"/>
      <c r="D12" s="10"/>
      <c r="E12" s="10"/>
      <c r="F12" s="10"/>
      <c r="G12" s="10"/>
      <c r="H12" s="10" t="str">
        <f aca="false">IF(AND(F12="",G12=""),"",IF(F12="",0,F12)-IF(G12="",0,G12))</f>
        <v/>
      </c>
      <c r="I12" s="10"/>
      <c r="J12" s="10"/>
      <c r="K12" s="10"/>
      <c r="L12" s="10"/>
    </row>
    <row r="13" customFormat="false" ht="15" hidden="false" customHeight="true" outlineLevel="0" collapsed="false">
      <c r="A13" s="12"/>
      <c r="B13" s="12"/>
      <c r="C13" s="12"/>
      <c r="D13" s="12"/>
      <c r="E13" s="12"/>
      <c r="F13" s="12"/>
      <c r="G13" s="12"/>
      <c r="H13" s="12" t="str">
        <f aca="false">IF(AND(F13="",G13=""),"",IF(F13="",0,F13)-IF(G13="",0,G13))</f>
        <v/>
      </c>
      <c r="I13" s="12"/>
      <c r="J13" s="12"/>
      <c r="K13" s="12"/>
      <c r="L13" s="12"/>
    </row>
    <row r="14" customFormat="false" ht="15" hidden="false" customHeight="true" outlineLevel="0" collapsed="false">
      <c r="A14" s="10"/>
      <c r="B14" s="10"/>
      <c r="C14" s="10"/>
      <c r="D14" s="10"/>
      <c r="E14" s="10"/>
      <c r="F14" s="10"/>
      <c r="G14" s="10"/>
      <c r="H14" s="10" t="str">
        <f aca="false">IF(AND(F14="",G14=""),"",IF(F14="",0,F14)-IF(G14="",0,G14))</f>
        <v/>
      </c>
      <c r="I14" s="10"/>
      <c r="J14" s="10"/>
      <c r="K14" s="10"/>
      <c r="L14" s="10"/>
    </row>
    <row r="15" customFormat="false" ht="15" hidden="false" customHeight="true" outlineLevel="0" collapsed="false">
      <c r="A15" s="12"/>
      <c r="B15" s="12"/>
      <c r="C15" s="12"/>
      <c r="D15" s="12"/>
      <c r="E15" s="12"/>
      <c r="F15" s="12"/>
      <c r="G15" s="12"/>
      <c r="H15" s="12" t="str">
        <f aca="false">IF(AND(F15="",G15=""),"",IF(F15="",0,F15)-IF(G15="",0,G15))</f>
        <v/>
      </c>
      <c r="I15" s="12"/>
      <c r="J15" s="12"/>
      <c r="K15" s="12"/>
      <c r="L15" s="12"/>
    </row>
    <row r="16" customFormat="false" ht="15" hidden="false" customHeight="true" outlineLevel="0" collapsed="false">
      <c r="A16" s="10"/>
      <c r="B16" s="10"/>
      <c r="C16" s="10"/>
      <c r="D16" s="10"/>
      <c r="E16" s="10"/>
      <c r="F16" s="10"/>
      <c r="G16" s="10"/>
      <c r="H16" s="10" t="str">
        <f aca="false">IF(AND(F16="",G16=""),"",IF(F16="",0,F16)-IF(G16="",0,G16))</f>
        <v/>
      </c>
      <c r="I16" s="10"/>
      <c r="J16" s="10"/>
      <c r="K16" s="10"/>
      <c r="L16" s="10"/>
    </row>
    <row r="17" customFormat="false" ht="15" hidden="false" customHeight="true" outlineLevel="0" collapsed="false">
      <c r="A17" s="12"/>
      <c r="B17" s="12"/>
      <c r="C17" s="12"/>
      <c r="D17" s="12"/>
      <c r="E17" s="12"/>
      <c r="F17" s="12"/>
      <c r="G17" s="12"/>
      <c r="H17" s="12" t="str">
        <f aca="false">IF(AND(F17="",G17=""),"",IF(F17="",0,F17)-IF(G17="",0,G17))</f>
        <v/>
      </c>
      <c r="I17" s="12"/>
      <c r="J17" s="12"/>
      <c r="K17" s="12"/>
      <c r="L17" s="12"/>
    </row>
    <row r="18" customFormat="false" ht="15" hidden="false" customHeight="true" outlineLevel="0" collapsed="false">
      <c r="A18" s="10"/>
      <c r="B18" s="10"/>
      <c r="C18" s="10"/>
      <c r="D18" s="10"/>
      <c r="E18" s="10"/>
      <c r="F18" s="10"/>
      <c r="G18" s="10"/>
      <c r="H18" s="10" t="str">
        <f aca="false">IF(AND(F18="",G18=""),"",IF(F18="",0,F18)-IF(G18="",0,G18))</f>
        <v/>
      </c>
      <c r="I18" s="10"/>
      <c r="J18" s="10"/>
      <c r="K18" s="10"/>
      <c r="L18" s="10"/>
    </row>
    <row r="19" customFormat="false" ht="15" hidden="false" customHeight="true" outlineLevel="0" collapsed="false">
      <c r="A19" s="12"/>
      <c r="B19" s="12"/>
      <c r="C19" s="12"/>
      <c r="D19" s="12"/>
      <c r="E19" s="12"/>
      <c r="F19" s="12"/>
      <c r="G19" s="12"/>
      <c r="H19" s="12" t="str">
        <f aca="false">IF(AND(F19="",G19=""),"",IF(F19="",0,F19)-IF(G19="",0,G19))</f>
        <v/>
      </c>
      <c r="I19" s="12"/>
      <c r="J19" s="12"/>
      <c r="K19" s="12"/>
      <c r="L19" s="12"/>
    </row>
    <row r="20" customFormat="false" ht="15" hidden="false" customHeight="true" outlineLevel="0" collapsed="false">
      <c r="A20" s="10"/>
      <c r="B20" s="10"/>
      <c r="C20" s="10"/>
      <c r="D20" s="10"/>
      <c r="E20" s="10"/>
      <c r="F20" s="10"/>
      <c r="G20" s="10"/>
      <c r="H20" s="10" t="str">
        <f aca="false">IF(AND(F20="",G20=""),"",IF(F20="",0,F20)-IF(G20="",0,G20))</f>
        <v/>
      </c>
      <c r="I20" s="10"/>
      <c r="J20" s="10"/>
      <c r="K20" s="10"/>
      <c r="L20" s="10"/>
    </row>
    <row r="21" customFormat="false" ht="15" hidden="false" customHeight="true" outlineLevel="0" collapsed="false">
      <c r="A21" s="12"/>
      <c r="B21" s="12"/>
      <c r="C21" s="12"/>
      <c r="D21" s="12"/>
      <c r="E21" s="12"/>
      <c r="F21" s="12"/>
      <c r="G21" s="12"/>
      <c r="H21" s="12" t="str">
        <f aca="false">IF(AND(F21="",G21=""),"",IF(F21="",0,F21)-IF(G21="",0,G21))</f>
        <v/>
      </c>
      <c r="I21" s="12"/>
      <c r="J21" s="12"/>
      <c r="K21" s="12"/>
      <c r="L21" s="12"/>
    </row>
    <row r="22" customFormat="false" ht="15" hidden="false" customHeight="true" outlineLevel="0" collapsed="false">
      <c r="A22" s="10"/>
      <c r="B22" s="10"/>
      <c r="C22" s="10"/>
      <c r="D22" s="10"/>
      <c r="E22" s="10"/>
      <c r="F22" s="10"/>
      <c r="G22" s="10"/>
      <c r="H22" s="10" t="str">
        <f aca="false">IF(AND(F22="",G22=""),"",IF(F22="",0,F22)-IF(G22="",0,G22))</f>
        <v/>
      </c>
      <c r="I22" s="10"/>
      <c r="J22" s="10"/>
      <c r="K22" s="10"/>
      <c r="L22" s="10"/>
    </row>
    <row r="23" customFormat="false" ht="15" hidden="false" customHeight="true" outlineLevel="0" collapsed="false">
      <c r="A23" s="12"/>
      <c r="B23" s="12"/>
      <c r="C23" s="12"/>
      <c r="D23" s="12"/>
      <c r="E23" s="12"/>
      <c r="F23" s="12"/>
      <c r="G23" s="12"/>
      <c r="H23" s="12" t="str">
        <f aca="false">IF(AND(F23="",G23=""),"",IF(F23="",0,F23)-IF(G23="",0,G23))</f>
        <v/>
      </c>
      <c r="I23" s="12"/>
      <c r="J23" s="12"/>
      <c r="K23" s="12"/>
      <c r="L23" s="12"/>
    </row>
    <row r="24" customFormat="false" ht="15" hidden="false" customHeight="true" outlineLevel="0" collapsed="false">
      <c r="A24" s="10"/>
      <c r="B24" s="10"/>
      <c r="C24" s="10"/>
      <c r="D24" s="10"/>
      <c r="E24" s="10"/>
      <c r="F24" s="10"/>
      <c r="G24" s="10"/>
      <c r="H24" s="10" t="str">
        <f aca="false">IF(AND(F24="",G24=""),"",IF(F24="",0,F24)-IF(G24="",0,G24))</f>
        <v/>
      </c>
      <c r="I24" s="10"/>
      <c r="J24" s="10"/>
      <c r="K24" s="10"/>
      <c r="L24" s="10"/>
    </row>
    <row r="25" customFormat="false" ht="15" hidden="false" customHeight="true" outlineLevel="0" collapsed="false">
      <c r="A25" s="12"/>
      <c r="B25" s="12"/>
      <c r="C25" s="12"/>
      <c r="D25" s="12"/>
      <c r="E25" s="12"/>
      <c r="F25" s="12"/>
      <c r="G25" s="12"/>
      <c r="H25" s="12" t="str">
        <f aca="false">IF(AND(F25="",G25=""),"",IF(F25="",0,F25)-IF(G25="",0,G25))</f>
        <v/>
      </c>
      <c r="I25" s="12"/>
      <c r="J25" s="12"/>
      <c r="K25" s="12"/>
      <c r="L25" s="12"/>
    </row>
    <row r="26" customFormat="false" ht="15" hidden="false" customHeight="true" outlineLevel="0" collapsed="false">
      <c r="A26" s="10"/>
      <c r="B26" s="10"/>
      <c r="C26" s="10"/>
      <c r="D26" s="10"/>
      <c r="E26" s="10"/>
      <c r="F26" s="10"/>
      <c r="G26" s="10"/>
      <c r="H26" s="10" t="str">
        <f aca="false">IF(AND(F26="",G26=""),"",IF(F26="",0,F26)-IF(G26="",0,G26))</f>
        <v/>
      </c>
      <c r="I26" s="10"/>
      <c r="J26" s="10"/>
      <c r="K26" s="10"/>
      <c r="L26" s="10"/>
    </row>
    <row r="27" customFormat="false" ht="15" hidden="false" customHeight="true" outlineLevel="0" collapsed="false">
      <c r="A27" s="12"/>
      <c r="B27" s="12"/>
      <c r="C27" s="12"/>
      <c r="D27" s="12"/>
      <c r="E27" s="12"/>
      <c r="F27" s="12"/>
      <c r="G27" s="12"/>
      <c r="H27" s="12" t="str">
        <f aca="false">IF(AND(F27="",G27=""),"",IF(F27="",0,F27)-IF(G27="",0,G27))</f>
        <v/>
      </c>
      <c r="I27" s="12"/>
      <c r="J27" s="12"/>
      <c r="K27" s="12"/>
      <c r="L27" s="12"/>
    </row>
    <row r="28" customFormat="false" ht="15" hidden="false" customHeight="true" outlineLevel="0" collapsed="false">
      <c r="A28" s="10"/>
      <c r="B28" s="10"/>
      <c r="C28" s="10"/>
      <c r="D28" s="10"/>
      <c r="E28" s="10"/>
      <c r="F28" s="10"/>
      <c r="G28" s="10"/>
      <c r="H28" s="10" t="str">
        <f aca="false">IF(AND(F28="",G28=""),"",IF(F28="",0,F28)-IF(G28="",0,G28))</f>
        <v/>
      </c>
      <c r="I28" s="10"/>
      <c r="J28" s="10"/>
      <c r="K28" s="10"/>
      <c r="L28" s="10"/>
    </row>
    <row r="29" customFormat="false" ht="15" hidden="false" customHeight="true" outlineLevel="0" collapsed="false">
      <c r="A29" s="12"/>
      <c r="B29" s="12"/>
      <c r="C29" s="12"/>
      <c r="D29" s="12"/>
      <c r="E29" s="12"/>
      <c r="F29" s="12"/>
      <c r="G29" s="12"/>
      <c r="H29" s="12" t="str">
        <f aca="false">IF(AND(F29="",G29=""),"",IF(F29="",0,F29)-IF(G29="",0,G29))</f>
        <v/>
      </c>
      <c r="I29" s="12"/>
      <c r="J29" s="12"/>
      <c r="K29" s="12"/>
      <c r="L29" s="12"/>
    </row>
    <row r="30" customFormat="false" ht="4.5" hidden="false" customHeight="true" outlineLevel="0" collapsed="false"/>
    <row r="31" customFormat="false" ht="21.75" hidden="false" customHeight="true" outlineLevel="0" collapsed="false">
      <c r="A31" s="5" t="s">
        <v>453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customFormat="false" ht="15.75" hidden="false" customHeight="true" outlineLevel="0" collapsed="false">
      <c r="A32" s="6" t="s">
        <v>454</v>
      </c>
      <c r="B32" s="6"/>
      <c r="C32" s="6"/>
      <c r="D32" s="6"/>
      <c r="E32" s="6"/>
      <c r="F32" s="6"/>
      <c r="G32" s="6"/>
      <c r="H32" s="6"/>
      <c r="I32" s="14" t="n">
        <f aca="false">SUM(F5:F29)</f>
        <v>0</v>
      </c>
    </row>
    <row r="33" customFormat="false" ht="15.75" hidden="false" customHeight="true" outlineLevel="0" collapsed="false">
      <c r="A33" s="6" t="s">
        <v>455</v>
      </c>
      <c r="B33" s="6"/>
      <c r="C33" s="6"/>
      <c r="D33" s="6"/>
      <c r="E33" s="6"/>
      <c r="F33" s="6"/>
      <c r="G33" s="6"/>
      <c r="H33" s="6"/>
      <c r="I33" s="14" t="n">
        <f aca="false">SUM(G5:G29)</f>
        <v>0</v>
      </c>
    </row>
    <row r="34" customFormat="false" ht="15.75" hidden="false" customHeight="true" outlineLevel="0" collapsed="false">
      <c r="A34" s="6" t="s">
        <v>456</v>
      </c>
      <c r="B34" s="6"/>
      <c r="C34" s="6"/>
      <c r="D34" s="6"/>
      <c r="E34" s="6"/>
      <c r="F34" s="6"/>
      <c r="G34" s="6"/>
      <c r="H34" s="6"/>
      <c r="I34" s="14" t="n">
        <f aca="false">COUNTIF(I5:I29,"Fail")</f>
        <v>0</v>
      </c>
    </row>
    <row r="35" customFormat="false" ht="15.75" hidden="false" customHeight="true" outlineLevel="0" collapsed="false">
      <c r="A35" s="6" t="s">
        <v>457</v>
      </c>
      <c r="B35" s="6"/>
      <c r="C35" s="6"/>
      <c r="D35" s="6"/>
      <c r="E35" s="6"/>
      <c r="F35" s="6"/>
      <c r="G35" s="6"/>
      <c r="H35" s="6"/>
      <c r="I35" s="14"/>
    </row>
    <row r="36" customFormat="false" ht="4.5" hidden="false" customHeight="true" outlineLevel="0" collapsed="false"/>
    <row r="37" customFormat="false" ht="18" hidden="false" customHeight="true" outlineLevel="0" collapsed="false">
      <c r="A37" s="13" t="s">
        <v>70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</row>
  </sheetData>
  <mergeCells count="10">
    <mergeCell ref="A1:F1"/>
    <mergeCell ref="G1:L1"/>
    <mergeCell ref="A2:L2"/>
    <mergeCell ref="A3:L3"/>
    <mergeCell ref="A31:L31"/>
    <mergeCell ref="A32:H32"/>
    <mergeCell ref="A33:H33"/>
    <mergeCell ref="A34:H34"/>
    <mergeCell ref="A35:H35"/>
    <mergeCell ref="A37:L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1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  <c r="K1" s="2"/>
    </row>
    <row r="2" customFormat="false" ht="21.75" hidden="false" customHeight="true" outlineLevel="0" collapsed="false">
      <c r="A2" s="5" t="s">
        <v>458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customFormat="false" ht="18" hidden="false" customHeight="true" outlineLevel="0" collapsed="false">
      <c r="A3" s="8" t="s">
        <v>459</v>
      </c>
      <c r="B3" s="8" t="s">
        <v>460</v>
      </c>
      <c r="C3" s="8" t="s">
        <v>72</v>
      </c>
      <c r="D3" s="8" t="s">
        <v>461</v>
      </c>
      <c r="E3" s="8" t="s">
        <v>462</v>
      </c>
      <c r="F3" s="8" t="s">
        <v>463</v>
      </c>
      <c r="G3" s="8" t="s">
        <v>464</v>
      </c>
      <c r="H3" s="8" t="s">
        <v>465</v>
      </c>
      <c r="I3" s="8" t="s">
        <v>466</v>
      </c>
      <c r="J3" s="8" t="s">
        <v>467</v>
      </c>
      <c r="K3" s="8" t="s">
        <v>137</v>
      </c>
    </row>
    <row r="4" customFormat="false" ht="15" hidden="false" customHeight="true" outlineLevel="0" collapsed="false">
      <c r="A4" s="10" t="n">
        <v>1</v>
      </c>
      <c r="B4" s="9"/>
      <c r="C4" s="9"/>
      <c r="D4" s="9"/>
      <c r="E4" s="9"/>
      <c r="F4" s="10"/>
      <c r="G4" s="10"/>
      <c r="H4" s="10"/>
      <c r="I4" s="10"/>
      <c r="J4" s="10"/>
      <c r="K4" s="10"/>
    </row>
    <row r="5" customFormat="false" ht="15" hidden="false" customHeight="true" outlineLevel="0" collapsed="false">
      <c r="A5" s="12" t="n">
        <v>2</v>
      </c>
      <c r="B5" s="11"/>
      <c r="C5" s="11"/>
      <c r="D5" s="11"/>
      <c r="E5" s="11"/>
      <c r="F5" s="12"/>
      <c r="G5" s="12"/>
      <c r="H5" s="12"/>
      <c r="I5" s="12"/>
      <c r="J5" s="12"/>
      <c r="K5" s="12"/>
    </row>
    <row r="6" customFormat="false" ht="15" hidden="false" customHeight="true" outlineLevel="0" collapsed="false">
      <c r="A6" s="10" t="n">
        <v>3</v>
      </c>
      <c r="B6" s="9"/>
      <c r="C6" s="9"/>
      <c r="D6" s="9"/>
      <c r="E6" s="9"/>
      <c r="F6" s="10"/>
      <c r="G6" s="10"/>
      <c r="H6" s="10"/>
      <c r="I6" s="10"/>
      <c r="J6" s="10"/>
      <c r="K6" s="10"/>
    </row>
    <row r="7" customFormat="false" ht="15" hidden="false" customHeight="true" outlineLevel="0" collapsed="false">
      <c r="A7" s="12" t="n">
        <v>4</v>
      </c>
      <c r="B7" s="11"/>
      <c r="C7" s="11"/>
      <c r="D7" s="11"/>
      <c r="E7" s="11"/>
      <c r="F7" s="12"/>
      <c r="G7" s="12"/>
      <c r="H7" s="12"/>
      <c r="I7" s="12"/>
      <c r="J7" s="12"/>
      <c r="K7" s="12"/>
    </row>
    <row r="8" customFormat="false" ht="15" hidden="false" customHeight="true" outlineLevel="0" collapsed="false">
      <c r="A8" s="10" t="n">
        <v>5</v>
      </c>
      <c r="B8" s="9"/>
      <c r="C8" s="9"/>
      <c r="D8" s="9"/>
      <c r="E8" s="9"/>
      <c r="F8" s="10"/>
      <c r="G8" s="10"/>
      <c r="H8" s="10"/>
      <c r="I8" s="10"/>
      <c r="J8" s="10"/>
      <c r="K8" s="10"/>
    </row>
    <row r="9" customFormat="false" ht="15" hidden="false" customHeight="true" outlineLevel="0" collapsed="false">
      <c r="A9" s="12" t="n">
        <v>6</v>
      </c>
      <c r="B9" s="11"/>
      <c r="C9" s="11"/>
      <c r="D9" s="11"/>
      <c r="E9" s="11"/>
      <c r="F9" s="12"/>
      <c r="G9" s="12"/>
      <c r="H9" s="12"/>
      <c r="I9" s="12"/>
      <c r="J9" s="12"/>
      <c r="K9" s="12"/>
    </row>
    <row r="10" customFormat="false" ht="15" hidden="false" customHeight="true" outlineLevel="0" collapsed="false">
      <c r="A10" s="10" t="n">
        <v>7</v>
      </c>
      <c r="B10" s="9"/>
      <c r="C10" s="9"/>
      <c r="D10" s="9"/>
      <c r="E10" s="9"/>
      <c r="F10" s="10"/>
      <c r="G10" s="10"/>
      <c r="H10" s="10"/>
      <c r="I10" s="10"/>
      <c r="J10" s="10"/>
      <c r="K10" s="10"/>
    </row>
    <row r="11" customFormat="false" ht="15" hidden="false" customHeight="true" outlineLevel="0" collapsed="false">
      <c r="A11" s="12" t="n">
        <v>8</v>
      </c>
      <c r="B11" s="11"/>
      <c r="C11" s="11"/>
      <c r="D11" s="11"/>
      <c r="E11" s="11"/>
      <c r="F11" s="12"/>
      <c r="G11" s="12"/>
      <c r="H11" s="12"/>
      <c r="I11" s="12"/>
      <c r="J11" s="12"/>
      <c r="K11" s="12"/>
    </row>
    <row r="12" customFormat="false" ht="15" hidden="false" customHeight="true" outlineLevel="0" collapsed="false">
      <c r="A12" s="10" t="n">
        <v>9</v>
      </c>
      <c r="B12" s="9"/>
      <c r="C12" s="9"/>
      <c r="D12" s="9"/>
      <c r="E12" s="9"/>
      <c r="F12" s="10"/>
      <c r="G12" s="10"/>
      <c r="H12" s="10"/>
      <c r="I12" s="10"/>
      <c r="J12" s="10"/>
      <c r="K12" s="10"/>
    </row>
    <row r="13" customFormat="false" ht="15" hidden="false" customHeight="true" outlineLevel="0" collapsed="false">
      <c r="A13" s="12" t="n">
        <v>10</v>
      </c>
      <c r="B13" s="11"/>
      <c r="C13" s="11"/>
      <c r="D13" s="11"/>
      <c r="E13" s="11"/>
      <c r="F13" s="12"/>
      <c r="G13" s="12"/>
      <c r="H13" s="12"/>
      <c r="I13" s="12"/>
      <c r="J13" s="12"/>
      <c r="K13" s="12"/>
    </row>
    <row r="14" customFormat="false" ht="15" hidden="false" customHeight="true" outlineLevel="0" collapsed="false">
      <c r="A14" s="10" t="n">
        <v>11</v>
      </c>
      <c r="B14" s="9"/>
      <c r="C14" s="9"/>
      <c r="D14" s="9"/>
      <c r="E14" s="9"/>
      <c r="F14" s="10"/>
      <c r="G14" s="10"/>
      <c r="H14" s="10"/>
      <c r="I14" s="10"/>
      <c r="J14" s="10"/>
      <c r="K14" s="10"/>
    </row>
    <row r="15" customFormat="false" ht="15" hidden="false" customHeight="true" outlineLevel="0" collapsed="false">
      <c r="A15" s="12" t="n">
        <v>12</v>
      </c>
      <c r="B15" s="11"/>
      <c r="C15" s="11"/>
      <c r="D15" s="11"/>
      <c r="E15" s="11"/>
      <c r="F15" s="12"/>
      <c r="G15" s="12"/>
      <c r="H15" s="12"/>
      <c r="I15" s="12"/>
      <c r="J15" s="12"/>
      <c r="K15" s="12"/>
    </row>
    <row r="16" customFormat="false" ht="15" hidden="false" customHeight="true" outlineLevel="0" collapsed="false">
      <c r="A16" s="10" t="n">
        <v>13</v>
      </c>
      <c r="B16" s="9"/>
      <c r="C16" s="9"/>
      <c r="D16" s="9"/>
      <c r="E16" s="9"/>
      <c r="F16" s="10"/>
      <c r="G16" s="10"/>
      <c r="H16" s="10"/>
      <c r="I16" s="10"/>
      <c r="J16" s="10"/>
      <c r="K16" s="10"/>
    </row>
    <row r="17" customFormat="false" ht="15" hidden="false" customHeight="true" outlineLevel="0" collapsed="false">
      <c r="A17" s="12" t="n">
        <v>14</v>
      </c>
      <c r="B17" s="11"/>
      <c r="C17" s="11"/>
      <c r="D17" s="11"/>
      <c r="E17" s="11"/>
      <c r="F17" s="12"/>
      <c r="G17" s="12"/>
      <c r="H17" s="12"/>
      <c r="I17" s="12"/>
      <c r="J17" s="12"/>
      <c r="K17" s="12"/>
    </row>
    <row r="18" customFormat="false" ht="15" hidden="false" customHeight="true" outlineLevel="0" collapsed="false">
      <c r="A18" s="10" t="n">
        <v>15</v>
      </c>
      <c r="B18" s="9"/>
      <c r="C18" s="9"/>
      <c r="D18" s="9"/>
      <c r="E18" s="9"/>
      <c r="F18" s="10"/>
      <c r="G18" s="10"/>
      <c r="H18" s="10"/>
      <c r="I18" s="10"/>
      <c r="J18" s="10"/>
      <c r="K18" s="10"/>
    </row>
    <row r="19" customFormat="false" ht="15" hidden="false" customHeight="true" outlineLevel="0" collapsed="false">
      <c r="A19" s="12" t="n">
        <v>16</v>
      </c>
      <c r="B19" s="11"/>
      <c r="C19" s="11"/>
      <c r="D19" s="11"/>
      <c r="E19" s="11"/>
      <c r="F19" s="12"/>
      <c r="G19" s="12"/>
      <c r="H19" s="12"/>
      <c r="I19" s="12"/>
      <c r="J19" s="12"/>
      <c r="K19" s="12"/>
    </row>
    <row r="20" customFormat="false" ht="15" hidden="false" customHeight="true" outlineLevel="0" collapsed="false">
      <c r="A20" s="10" t="n">
        <v>17</v>
      </c>
      <c r="B20" s="9"/>
      <c r="C20" s="9"/>
      <c r="D20" s="9"/>
      <c r="E20" s="9"/>
      <c r="F20" s="10"/>
      <c r="G20" s="10"/>
      <c r="H20" s="10"/>
      <c r="I20" s="10"/>
      <c r="J20" s="10"/>
      <c r="K20" s="10"/>
    </row>
    <row r="21" customFormat="false" ht="15" hidden="false" customHeight="true" outlineLevel="0" collapsed="false">
      <c r="A21" s="12" t="n">
        <v>18</v>
      </c>
      <c r="B21" s="11"/>
      <c r="C21" s="11"/>
      <c r="D21" s="11"/>
      <c r="E21" s="11"/>
      <c r="F21" s="12"/>
      <c r="G21" s="12"/>
      <c r="H21" s="12"/>
      <c r="I21" s="12"/>
      <c r="J21" s="12"/>
      <c r="K21" s="12"/>
    </row>
    <row r="22" customFormat="false" ht="15" hidden="false" customHeight="true" outlineLevel="0" collapsed="false">
      <c r="A22" s="10" t="n">
        <v>19</v>
      </c>
      <c r="B22" s="9"/>
      <c r="C22" s="9"/>
      <c r="D22" s="9"/>
      <c r="E22" s="9"/>
      <c r="F22" s="10"/>
      <c r="G22" s="10"/>
      <c r="H22" s="10"/>
      <c r="I22" s="10"/>
      <c r="J22" s="10"/>
      <c r="K22" s="10"/>
    </row>
    <row r="23" customFormat="false" ht="15" hidden="false" customHeight="true" outlineLevel="0" collapsed="false">
      <c r="A23" s="12" t="n">
        <v>20</v>
      </c>
      <c r="B23" s="11"/>
      <c r="C23" s="11"/>
      <c r="D23" s="11"/>
      <c r="E23" s="11"/>
      <c r="F23" s="12"/>
      <c r="G23" s="12"/>
      <c r="H23" s="12"/>
      <c r="I23" s="12"/>
      <c r="J23" s="12"/>
      <c r="K23" s="12"/>
    </row>
    <row r="24" customFormat="false" ht="15" hidden="false" customHeight="true" outlineLevel="0" collapsed="false">
      <c r="A24" s="10" t="n">
        <v>21</v>
      </c>
      <c r="B24" s="9"/>
      <c r="C24" s="9"/>
      <c r="D24" s="9"/>
      <c r="E24" s="9"/>
      <c r="F24" s="10"/>
      <c r="G24" s="10"/>
      <c r="H24" s="10"/>
      <c r="I24" s="10"/>
      <c r="J24" s="10"/>
      <c r="K24" s="10"/>
    </row>
    <row r="25" customFormat="false" ht="15" hidden="false" customHeight="true" outlineLevel="0" collapsed="false">
      <c r="A25" s="12" t="n">
        <v>22</v>
      </c>
      <c r="B25" s="11"/>
      <c r="C25" s="11"/>
      <c r="D25" s="11"/>
      <c r="E25" s="11"/>
      <c r="F25" s="12"/>
      <c r="G25" s="12"/>
      <c r="H25" s="12"/>
      <c r="I25" s="12"/>
      <c r="J25" s="12"/>
      <c r="K25" s="12"/>
    </row>
    <row r="26" customFormat="false" ht="15" hidden="false" customHeight="true" outlineLevel="0" collapsed="false">
      <c r="A26" s="10" t="n">
        <v>23</v>
      </c>
      <c r="B26" s="9"/>
      <c r="C26" s="9"/>
      <c r="D26" s="9"/>
      <c r="E26" s="9"/>
      <c r="F26" s="10"/>
      <c r="G26" s="10"/>
      <c r="H26" s="10"/>
      <c r="I26" s="10"/>
      <c r="J26" s="10"/>
      <c r="K26" s="10"/>
    </row>
    <row r="27" customFormat="false" ht="15" hidden="false" customHeight="true" outlineLevel="0" collapsed="false">
      <c r="A27" s="12" t="n">
        <v>24</v>
      </c>
      <c r="B27" s="11"/>
      <c r="C27" s="11"/>
      <c r="D27" s="11"/>
      <c r="E27" s="11"/>
      <c r="F27" s="12"/>
      <c r="G27" s="12"/>
      <c r="H27" s="12"/>
      <c r="I27" s="12"/>
      <c r="J27" s="12"/>
      <c r="K27" s="12"/>
    </row>
    <row r="28" customFormat="false" ht="15" hidden="false" customHeight="true" outlineLevel="0" collapsed="false">
      <c r="A28" s="10" t="n">
        <v>25</v>
      </c>
      <c r="B28" s="9"/>
      <c r="C28" s="9"/>
      <c r="D28" s="9"/>
      <c r="E28" s="9"/>
      <c r="F28" s="10"/>
      <c r="G28" s="10"/>
      <c r="H28" s="10"/>
      <c r="I28" s="10"/>
      <c r="J28" s="10"/>
      <c r="K28" s="10"/>
    </row>
    <row r="29" customFormat="false" ht="15" hidden="false" customHeight="true" outlineLevel="0" collapsed="false">
      <c r="A29" s="12" t="n">
        <v>26</v>
      </c>
      <c r="B29" s="11"/>
      <c r="C29" s="11"/>
      <c r="D29" s="11"/>
      <c r="E29" s="11"/>
      <c r="F29" s="12"/>
      <c r="G29" s="12"/>
      <c r="H29" s="12"/>
      <c r="I29" s="12"/>
      <c r="J29" s="12"/>
      <c r="K29" s="12"/>
    </row>
    <row r="30" customFormat="false" ht="15" hidden="false" customHeight="true" outlineLevel="0" collapsed="false">
      <c r="A30" s="10" t="n">
        <v>27</v>
      </c>
      <c r="B30" s="9"/>
      <c r="C30" s="9"/>
      <c r="D30" s="9"/>
      <c r="E30" s="9"/>
      <c r="F30" s="10"/>
      <c r="G30" s="10"/>
      <c r="H30" s="10"/>
      <c r="I30" s="10"/>
      <c r="J30" s="10"/>
      <c r="K30" s="10"/>
    </row>
    <row r="31" customFormat="false" ht="15" hidden="false" customHeight="true" outlineLevel="0" collapsed="false">
      <c r="A31" s="12" t="n">
        <v>28</v>
      </c>
      <c r="B31" s="11"/>
      <c r="C31" s="11"/>
      <c r="D31" s="11"/>
      <c r="E31" s="11"/>
      <c r="F31" s="12"/>
      <c r="G31" s="12"/>
      <c r="H31" s="12"/>
      <c r="I31" s="12"/>
      <c r="J31" s="12"/>
      <c r="K31" s="12"/>
    </row>
    <row r="32" customFormat="false" ht="15" hidden="false" customHeight="true" outlineLevel="0" collapsed="false">
      <c r="A32" s="10" t="n">
        <v>29</v>
      </c>
      <c r="B32" s="9"/>
      <c r="C32" s="9"/>
      <c r="D32" s="9"/>
      <c r="E32" s="9"/>
      <c r="F32" s="10"/>
      <c r="G32" s="10"/>
      <c r="H32" s="10"/>
      <c r="I32" s="10"/>
      <c r="J32" s="10"/>
      <c r="K32" s="10"/>
    </row>
    <row r="33" customFormat="false" ht="15" hidden="false" customHeight="true" outlineLevel="0" collapsed="false">
      <c r="A33" s="12" t="n">
        <v>30</v>
      </c>
      <c r="B33" s="11"/>
      <c r="C33" s="11"/>
      <c r="D33" s="11"/>
      <c r="E33" s="11"/>
      <c r="F33" s="12"/>
      <c r="G33" s="12"/>
      <c r="H33" s="12"/>
      <c r="I33" s="12"/>
      <c r="J33" s="12"/>
      <c r="K33" s="12"/>
    </row>
    <row r="34" customFormat="false" ht="4.5" hidden="false" customHeight="true" outlineLevel="0" collapsed="false"/>
    <row r="35" customFormat="false" ht="21.75" hidden="false" customHeight="true" outlineLevel="0" collapsed="false">
      <c r="A35" s="5" t="s">
        <v>468</v>
      </c>
      <c r="B35" s="5"/>
      <c r="C35" s="5"/>
      <c r="D35" s="5"/>
      <c r="E35" s="5"/>
      <c r="F35" s="5"/>
      <c r="G35" s="5"/>
      <c r="H35" s="5"/>
      <c r="I35" s="5"/>
      <c r="J35" s="5"/>
      <c r="K35" s="5"/>
    </row>
    <row r="36" customFormat="false" ht="15.75" hidden="false" customHeight="true" outlineLevel="0" collapsed="false">
      <c r="A36" s="6" t="s">
        <v>469</v>
      </c>
      <c r="B36" s="6"/>
      <c r="C36" s="6"/>
      <c r="D36" s="6"/>
      <c r="E36" s="6"/>
      <c r="F36" s="6"/>
      <c r="G36" s="14" t="n">
        <f aca="false">COUNTA(B4:B33)</f>
        <v>0</v>
      </c>
    </row>
    <row r="37" customFormat="false" ht="15.75" hidden="false" customHeight="true" outlineLevel="0" collapsed="false">
      <c r="A37" s="6" t="s">
        <v>470</v>
      </c>
      <c r="B37" s="6"/>
      <c r="C37" s="6"/>
      <c r="D37" s="6"/>
      <c r="E37" s="6"/>
      <c r="F37" s="6"/>
      <c r="G37" s="14" t="n">
        <f aca="false">COUNTIF(K4:K33,"Open")</f>
        <v>0</v>
      </c>
    </row>
    <row r="38" customFormat="false" ht="15.75" hidden="false" customHeight="true" outlineLevel="0" collapsed="false">
      <c r="A38" s="6" t="s">
        <v>471</v>
      </c>
      <c r="B38" s="6"/>
      <c r="C38" s="6"/>
      <c r="D38" s="6"/>
      <c r="E38" s="6"/>
      <c r="F38" s="6"/>
      <c r="G38" s="14" t="n">
        <f aca="false">COUNTIF(K4:K33,"Closed")</f>
        <v>0</v>
      </c>
    </row>
    <row r="39" customFormat="false" ht="15.75" hidden="false" customHeight="true" outlineLevel="0" collapsed="false">
      <c r="A39" s="6" t="s">
        <v>472</v>
      </c>
      <c r="B39" s="6"/>
      <c r="C39" s="6"/>
      <c r="D39" s="6"/>
      <c r="E39" s="6"/>
      <c r="F39" s="6"/>
      <c r="G39" s="14" t="n">
        <f aca="false">COUNTIF(G4:G33,"Critical")</f>
        <v>0</v>
      </c>
    </row>
    <row r="40" customFormat="false" ht="15.75" hidden="false" customHeight="true" outlineLevel="0" collapsed="false">
      <c r="A40" s="6" t="s">
        <v>473</v>
      </c>
      <c r="B40" s="6"/>
      <c r="C40" s="6"/>
      <c r="D40" s="6"/>
      <c r="E40" s="6"/>
      <c r="F40" s="6"/>
      <c r="G40" s="14" t="n">
        <f aca="false">COUNTIF(G4:G33,"High")</f>
        <v>0</v>
      </c>
    </row>
    <row r="41" customFormat="false" ht="15.75" hidden="false" customHeight="true" outlineLevel="0" collapsed="false">
      <c r="A41" s="6" t="s">
        <v>474</v>
      </c>
      <c r="B41" s="6"/>
      <c r="C41" s="6"/>
      <c r="D41" s="6"/>
      <c r="E41" s="6"/>
      <c r="F41" s="6"/>
      <c r="G41" s="14" t="n">
        <f aca="true">COUNTIFS(H4:H33,"&lt;"&amp;TODAY(),K4:K33,"Open")</f>
        <v>0</v>
      </c>
    </row>
    <row r="42" customFormat="false" ht="4.5" hidden="false" customHeight="true" outlineLevel="0" collapsed="false"/>
    <row r="43" customFormat="false" ht="18" hidden="false" customHeight="true" outlineLevel="0" collapsed="false">
      <c r="A43" s="13" t="s">
        <v>70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</row>
  </sheetData>
  <mergeCells count="11">
    <mergeCell ref="A1:E1"/>
    <mergeCell ref="F1:K1"/>
    <mergeCell ref="A2:K2"/>
    <mergeCell ref="A35:K35"/>
    <mergeCell ref="A36:F36"/>
    <mergeCell ref="A37:F37"/>
    <mergeCell ref="A38:F38"/>
    <mergeCell ref="A39:F39"/>
    <mergeCell ref="A40:F40"/>
    <mergeCell ref="A41:F41"/>
    <mergeCell ref="A43:K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1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</row>
    <row r="2" customFormat="false" ht="21.75" hidden="false" customHeight="true" outlineLevel="0" collapsed="false">
      <c r="A2" s="5" t="s">
        <v>475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customFormat="false" ht="18" hidden="false" customHeight="true" outlineLevel="0" collapsed="false">
      <c r="A3" s="6" t="s">
        <v>476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customFormat="false" ht="4.5" hidden="false" customHeight="true" outlineLevel="0" collapsed="false"/>
    <row r="5" customFormat="false" ht="21.75" hidden="false" customHeight="true" outlineLevel="0" collapsed="false">
      <c r="A5" s="5" t="s">
        <v>477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customFormat="false" ht="18" hidden="false" customHeight="true" outlineLevel="0" collapsed="false">
      <c r="A6" s="8" t="s">
        <v>478</v>
      </c>
      <c r="B6" s="8" t="s">
        <v>479</v>
      </c>
      <c r="C6" s="8" t="s">
        <v>124</v>
      </c>
      <c r="D6" s="8" t="s">
        <v>125</v>
      </c>
      <c r="E6" s="8" t="s">
        <v>126</v>
      </c>
      <c r="F6" s="8" t="s">
        <v>127</v>
      </c>
      <c r="G6" s="8" t="s">
        <v>128</v>
      </c>
      <c r="H6" s="8" t="s">
        <v>129</v>
      </c>
      <c r="I6" s="8" t="s">
        <v>130</v>
      </c>
      <c r="J6" s="8" t="s">
        <v>131</v>
      </c>
      <c r="K6" s="8" t="s">
        <v>132</v>
      </c>
      <c r="L6" s="8" t="s">
        <v>133</v>
      </c>
    </row>
    <row r="7" customFormat="false" ht="15.75" hidden="false" customHeight="true" outlineLevel="0" collapsed="false">
      <c r="A7" s="21" t="s">
        <v>480</v>
      </c>
      <c r="B7" s="10" t="s">
        <v>481</v>
      </c>
      <c r="C7" s="14"/>
      <c r="D7" s="14"/>
      <c r="E7" s="14"/>
      <c r="F7" s="14"/>
      <c r="G7" s="14"/>
      <c r="H7" s="14"/>
      <c r="I7" s="14"/>
      <c r="J7" s="14"/>
      <c r="K7" s="14"/>
      <c r="L7" s="14"/>
    </row>
    <row r="8" customFormat="false" ht="15.75" hidden="false" customHeight="true" outlineLevel="0" collapsed="false">
      <c r="A8" s="21" t="s">
        <v>482</v>
      </c>
      <c r="B8" s="12" t="s">
        <v>483</v>
      </c>
      <c r="C8" s="14"/>
      <c r="D8" s="14"/>
      <c r="E8" s="14"/>
      <c r="F8" s="14"/>
      <c r="G8" s="14"/>
      <c r="H8" s="14"/>
      <c r="I8" s="14"/>
      <c r="J8" s="14"/>
      <c r="K8" s="14"/>
      <c r="L8" s="14"/>
    </row>
    <row r="9" customFormat="false" ht="15.75" hidden="false" customHeight="true" outlineLevel="0" collapsed="false">
      <c r="A9" s="21" t="s">
        <v>484</v>
      </c>
      <c r="B9" s="10" t="s">
        <v>485</v>
      </c>
      <c r="C9" s="14"/>
      <c r="D9" s="14"/>
      <c r="E9" s="14"/>
      <c r="F9" s="14"/>
      <c r="G9" s="14"/>
      <c r="H9" s="14"/>
      <c r="I9" s="14"/>
      <c r="J9" s="14"/>
      <c r="K9" s="14"/>
      <c r="L9" s="14"/>
    </row>
    <row r="10" customFormat="false" ht="15.75" hidden="false" customHeight="true" outlineLevel="0" collapsed="false">
      <c r="A10" s="21" t="s">
        <v>486</v>
      </c>
      <c r="B10" s="12" t="s">
        <v>487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</row>
    <row r="11" customFormat="false" ht="15.75" hidden="false" customHeight="true" outlineLevel="0" collapsed="false">
      <c r="A11" s="21" t="s">
        <v>488</v>
      </c>
      <c r="B11" s="10" t="s">
        <v>489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</row>
    <row r="12" customFormat="false" ht="15.75" hidden="false" customHeight="true" outlineLevel="0" collapsed="false">
      <c r="A12" s="21" t="s">
        <v>490</v>
      </c>
      <c r="B12" s="12" t="s">
        <v>491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</row>
    <row r="13" customFormat="false" ht="15.75" hidden="false" customHeight="true" outlineLevel="0" collapsed="false">
      <c r="A13" s="21" t="s">
        <v>492</v>
      </c>
      <c r="B13" s="10" t="s">
        <v>493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</row>
    <row r="14" customFormat="false" ht="15.75" hidden="false" customHeight="true" outlineLevel="0" collapsed="false">
      <c r="A14" s="21" t="s">
        <v>494</v>
      </c>
      <c r="B14" s="12" t="s">
        <v>495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</row>
    <row r="15" customFormat="false" ht="15.75" hidden="false" customHeight="true" outlineLevel="0" collapsed="false">
      <c r="A15" s="21" t="s">
        <v>496</v>
      </c>
      <c r="B15" s="10" t="s">
        <v>497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</row>
    <row r="16" customFormat="false" ht="15.75" hidden="false" customHeight="true" outlineLevel="0" collapsed="false">
      <c r="A16" s="21" t="s">
        <v>498</v>
      </c>
      <c r="B16" s="12" t="s">
        <v>499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</row>
    <row r="17" customFormat="false" ht="15.75" hidden="false" customHeight="true" outlineLevel="0" collapsed="false">
      <c r="A17" s="21" t="s">
        <v>500</v>
      </c>
      <c r="B17" s="10" t="s">
        <v>493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</row>
    <row r="18" customFormat="false" ht="15.75" hidden="false" customHeight="true" outlineLevel="0" collapsed="false">
      <c r="A18" s="21" t="s">
        <v>501</v>
      </c>
      <c r="B18" s="12" t="s">
        <v>502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</row>
    <row r="19" customFormat="false" ht="15.75" hidden="false" customHeight="true" outlineLevel="0" collapsed="false">
      <c r="A19" s="21" t="s">
        <v>503</v>
      </c>
      <c r="B19" s="10" t="s">
        <v>504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</row>
    <row r="20" customFormat="false" ht="15.75" hidden="false" customHeight="true" outlineLevel="0" collapsed="false">
      <c r="A20" s="21" t="s">
        <v>505</v>
      </c>
      <c r="B20" s="12" t="s">
        <v>506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1" customFormat="false" ht="4.5" hidden="false" customHeight="true" outlineLevel="0" collapsed="false"/>
    <row r="22" customFormat="false" ht="21.75" hidden="false" customHeight="true" outlineLevel="0" collapsed="false">
      <c r="A22" s="5" t="s">
        <v>507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customFormat="false" ht="18" hidden="false" customHeight="true" outlineLevel="0" collapsed="false">
      <c r="A23" s="8" t="s">
        <v>508</v>
      </c>
      <c r="B23" s="8" t="s">
        <v>509</v>
      </c>
      <c r="C23" s="8" t="s">
        <v>510</v>
      </c>
      <c r="D23" s="8" t="s">
        <v>511</v>
      </c>
      <c r="E23" s="8" t="s">
        <v>512</v>
      </c>
      <c r="F23" s="8" t="s">
        <v>513</v>
      </c>
      <c r="G23" s="8" t="s">
        <v>514</v>
      </c>
      <c r="H23" s="8" t="s">
        <v>515</v>
      </c>
    </row>
    <row r="24" customFormat="false" ht="15" hidden="false" customHeight="true" outlineLevel="0" collapsed="false">
      <c r="A24" s="10" t="s">
        <v>124</v>
      </c>
      <c r="B24" s="10"/>
      <c r="C24" s="10"/>
      <c r="D24" s="10"/>
      <c r="E24" s="10" t="str">
        <f aca="false">IF(B24&gt;0,C24/B24,"")</f>
        <v/>
      </c>
      <c r="F24" s="10" t="n">
        <f aca="false">SUM(B24:B24)</f>
        <v>0</v>
      </c>
      <c r="G24" s="10" t="n">
        <f aca="false">SUM(C24:C24)</f>
        <v>0</v>
      </c>
      <c r="H24" s="10" t="str">
        <f aca="false">IF(F24&gt;0,G24/F24,"")</f>
        <v/>
      </c>
    </row>
    <row r="25" customFormat="false" ht="15" hidden="false" customHeight="true" outlineLevel="0" collapsed="false">
      <c r="A25" s="12" t="s">
        <v>125</v>
      </c>
      <c r="B25" s="12"/>
      <c r="C25" s="12"/>
      <c r="D25" s="12"/>
      <c r="E25" s="12" t="str">
        <f aca="false">IF(B25&gt;0,C25/B25,"")</f>
        <v/>
      </c>
      <c r="F25" s="12" t="n">
        <f aca="false">SUM(B24:B25)</f>
        <v>0</v>
      </c>
      <c r="G25" s="12" t="n">
        <f aca="false">SUM(C24:C25)</f>
        <v>0</v>
      </c>
      <c r="H25" s="12" t="str">
        <f aca="false">IF(F25&gt;0,G25/F25,"")</f>
        <v/>
      </c>
    </row>
    <row r="26" customFormat="false" ht="15" hidden="false" customHeight="true" outlineLevel="0" collapsed="false">
      <c r="A26" s="10" t="s">
        <v>126</v>
      </c>
      <c r="B26" s="10"/>
      <c r="C26" s="10"/>
      <c r="D26" s="10"/>
      <c r="E26" s="10" t="str">
        <f aca="false">IF(B26&gt;0,C26/B26,"")</f>
        <v/>
      </c>
      <c r="F26" s="10" t="n">
        <f aca="false">SUM(B24:B26)</f>
        <v>0</v>
      </c>
      <c r="G26" s="10" t="n">
        <f aca="false">SUM(C24:C26)</f>
        <v>0</v>
      </c>
      <c r="H26" s="10" t="str">
        <f aca="false">IF(F26&gt;0,G26/F26,"")</f>
        <v/>
      </c>
    </row>
    <row r="27" customFormat="false" ht="15" hidden="false" customHeight="true" outlineLevel="0" collapsed="false">
      <c r="A27" s="12" t="s">
        <v>127</v>
      </c>
      <c r="B27" s="12"/>
      <c r="C27" s="12"/>
      <c r="D27" s="12"/>
      <c r="E27" s="12" t="str">
        <f aca="false">IF(B27&gt;0,C27/B27,"")</f>
        <v/>
      </c>
      <c r="F27" s="12" t="n">
        <f aca="false">SUM(B24:B27)</f>
        <v>0</v>
      </c>
      <c r="G27" s="12" t="n">
        <f aca="false">SUM(C24:C27)</f>
        <v>0</v>
      </c>
      <c r="H27" s="12" t="str">
        <f aca="false">IF(F27&gt;0,G27/F27,"")</f>
        <v/>
      </c>
    </row>
    <row r="28" customFormat="false" ht="15" hidden="false" customHeight="true" outlineLevel="0" collapsed="false">
      <c r="A28" s="10" t="s">
        <v>128</v>
      </c>
      <c r="B28" s="10"/>
      <c r="C28" s="10"/>
      <c r="D28" s="10"/>
      <c r="E28" s="10" t="str">
        <f aca="false">IF(B28&gt;0,C28/B28,"")</f>
        <v/>
      </c>
      <c r="F28" s="10" t="n">
        <f aca="false">SUM(B24:B28)</f>
        <v>0</v>
      </c>
      <c r="G28" s="10" t="n">
        <f aca="false">SUM(C24:C28)</f>
        <v>0</v>
      </c>
      <c r="H28" s="10" t="str">
        <f aca="false">IF(F28&gt;0,G28/F28,"")</f>
        <v/>
      </c>
    </row>
    <row r="29" customFormat="false" ht="15" hidden="false" customHeight="true" outlineLevel="0" collapsed="false">
      <c r="A29" s="12" t="s">
        <v>129</v>
      </c>
      <c r="B29" s="12"/>
      <c r="C29" s="12"/>
      <c r="D29" s="12"/>
      <c r="E29" s="12" t="str">
        <f aca="false">IF(B29&gt;0,C29/B29,"")</f>
        <v/>
      </c>
      <c r="F29" s="12" t="n">
        <f aca="false">SUM(B24:B29)</f>
        <v>0</v>
      </c>
      <c r="G29" s="12" t="n">
        <f aca="false">SUM(C24:C29)</f>
        <v>0</v>
      </c>
      <c r="H29" s="12" t="str">
        <f aca="false">IF(F29&gt;0,G29/F29,"")</f>
        <v/>
      </c>
    </row>
    <row r="30" customFormat="false" ht="15" hidden="false" customHeight="true" outlineLevel="0" collapsed="false">
      <c r="A30" s="10" t="s">
        <v>130</v>
      </c>
      <c r="B30" s="10"/>
      <c r="C30" s="10"/>
      <c r="D30" s="10"/>
      <c r="E30" s="10" t="str">
        <f aca="false">IF(B30&gt;0,C30/B30,"")</f>
        <v/>
      </c>
      <c r="F30" s="10" t="n">
        <f aca="false">SUM(B24:B30)</f>
        <v>0</v>
      </c>
      <c r="G30" s="10" t="n">
        <f aca="false">SUM(C24:C30)</f>
        <v>0</v>
      </c>
      <c r="H30" s="10" t="str">
        <f aca="false">IF(F30&gt;0,G30/F30,"")</f>
        <v/>
      </c>
    </row>
    <row r="31" customFormat="false" ht="15" hidden="false" customHeight="true" outlineLevel="0" collapsed="false">
      <c r="A31" s="12" t="s">
        <v>131</v>
      </c>
      <c r="B31" s="12"/>
      <c r="C31" s="12"/>
      <c r="D31" s="12"/>
      <c r="E31" s="12" t="str">
        <f aca="false">IF(B31&gt;0,C31/B31,"")</f>
        <v/>
      </c>
      <c r="F31" s="12" t="n">
        <f aca="false">SUM(B24:B31)</f>
        <v>0</v>
      </c>
      <c r="G31" s="12" t="n">
        <f aca="false">SUM(C24:C31)</f>
        <v>0</v>
      </c>
      <c r="H31" s="12" t="str">
        <f aca="false">IF(F31&gt;0,G31/F31,"")</f>
        <v/>
      </c>
    </row>
    <row r="32" customFormat="false" ht="15" hidden="false" customHeight="true" outlineLevel="0" collapsed="false">
      <c r="A32" s="10" t="s">
        <v>132</v>
      </c>
      <c r="B32" s="10"/>
      <c r="C32" s="10"/>
      <c r="D32" s="10"/>
      <c r="E32" s="10" t="str">
        <f aca="false">IF(B32&gt;0,C32/B32,"")</f>
        <v/>
      </c>
      <c r="F32" s="10" t="n">
        <f aca="false">SUM(B24:B32)</f>
        <v>0</v>
      </c>
      <c r="G32" s="10" t="n">
        <f aca="false">SUM(C24:C32)</f>
        <v>0</v>
      </c>
      <c r="H32" s="10" t="str">
        <f aca="false">IF(F32&gt;0,G32/F32,"")</f>
        <v/>
      </c>
    </row>
    <row r="33" customFormat="false" ht="15" hidden="false" customHeight="true" outlineLevel="0" collapsed="false">
      <c r="A33" s="12" t="s">
        <v>133</v>
      </c>
      <c r="B33" s="12"/>
      <c r="C33" s="12"/>
      <c r="D33" s="12"/>
      <c r="E33" s="12" t="str">
        <f aca="false">IF(B33&gt;0,C33/B33,"")</f>
        <v/>
      </c>
      <c r="F33" s="12" t="n">
        <f aca="false">SUM(B24:B33)</f>
        <v>0</v>
      </c>
      <c r="G33" s="12" t="n">
        <f aca="false">SUM(C24:C33)</f>
        <v>0</v>
      </c>
      <c r="H33" s="12" t="str">
        <f aca="false">IF(F33&gt;0,G33/F33,"")</f>
        <v/>
      </c>
    </row>
    <row r="34" customFormat="false" ht="15" hidden="false" customHeight="true" outlineLevel="0" collapsed="false">
      <c r="A34" s="10" t="s">
        <v>134</v>
      </c>
      <c r="B34" s="10"/>
      <c r="C34" s="10"/>
      <c r="D34" s="10"/>
      <c r="E34" s="10" t="str">
        <f aca="false">IF(B34&gt;0,C34/B34,"")</f>
        <v/>
      </c>
      <c r="F34" s="10" t="n">
        <f aca="false">SUM(B24:B34)</f>
        <v>0</v>
      </c>
      <c r="G34" s="10" t="n">
        <f aca="false">SUM(C24:C34)</f>
        <v>0</v>
      </c>
      <c r="H34" s="10" t="str">
        <f aca="false">IF(F34&gt;0,G34/F34,"")</f>
        <v/>
      </c>
    </row>
    <row r="35" customFormat="false" ht="15" hidden="false" customHeight="true" outlineLevel="0" collapsed="false">
      <c r="A35" s="12" t="s">
        <v>135</v>
      </c>
      <c r="B35" s="12"/>
      <c r="C35" s="12"/>
      <c r="D35" s="12"/>
      <c r="E35" s="12" t="str">
        <f aca="false">IF(B35&gt;0,C35/B35,"")</f>
        <v/>
      </c>
      <c r="F35" s="12" t="n">
        <f aca="false">SUM(B24:B35)</f>
        <v>0</v>
      </c>
      <c r="G35" s="12" t="n">
        <f aca="false">SUM(C24:C35)</f>
        <v>0</v>
      </c>
      <c r="H35" s="12" t="str">
        <f aca="false">IF(F35&gt;0,G35/F35,"")</f>
        <v/>
      </c>
    </row>
    <row r="36" customFormat="false" ht="16.5" hidden="false" customHeight="true" outlineLevel="0" collapsed="false">
      <c r="A36" s="22" t="s">
        <v>516</v>
      </c>
      <c r="B36" s="23" t="n">
        <f aca="false">SUM(B24:B35)</f>
        <v>0</v>
      </c>
      <c r="C36" s="23" t="n">
        <f aca="false">SUM(C24:C35)</f>
        <v>0</v>
      </c>
      <c r="D36" s="23" t="n">
        <f aca="false">SUM(D24:D35)</f>
        <v>0</v>
      </c>
      <c r="E36" s="23" t="str">
        <f aca="false">IF(B36&gt;0,C36/B36,"")</f>
        <v/>
      </c>
    </row>
    <row r="37" customFormat="false" ht="4.5" hidden="false" customHeight="true" outlineLevel="0" collapsed="false"/>
    <row r="38" customFormat="false" ht="18" hidden="false" customHeight="true" outlineLevel="0" collapsed="false">
      <c r="A38" s="13" t="s">
        <v>70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</row>
  </sheetData>
  <mergeCells count="7">
    <mergeCell ref="A1:F1"/>
    <mergeCell ref="G1:L1"/>
    <mergeCell ref="A2:L2"/>
    <mergeCell ref="A3:L3"/>
    <mergeCell ref="A5:L5"/>
    <mergeCell ref="A22:L22"/>
    <mergeCell ref="A38:L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10" min="7" style="0" width="10"/>
    <col collapsed="false" customWidth="true" hidden="false" outlineLevel="0" max="11" min="11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  <c r="K1" s="2"/>
    </row>
    <row r="2" customFormat="false" ht="21.75" hidden="false" customHeight="true" outlineLevel="0" collapsed="false">
      <c r="A2" s="5" t="s">
        <v>517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customFormat="false" ht="18" hidden="false" customHeight="true" outlineLevel="0" collapsed="false">
      <c r="A3" s="8" t="s">
        <v>459</v>
      </c>
      <c r="B3" s="8" t="s">
        <v>441</v>
      </c>
      <c r="C3" s="8" t="s">
        <v>72</v>
      </c>
      <c r="D3" s="8" t="s">
        <v>518</v>
      </c>
      <c r="E3" s="8" t="s">
        <v>519</v>
      </c>
      <c r="F3" s="8" t="s">
        <v>520</v>
      </c>
      <c r="G3" s="8" t="s">
        <v>521</v>
      </c>
      <c r="H3" s="8" t="s">
        <v>522</v>
      </c>
      <c r="I3" s="8" t="s">
        <v>523</v>
      </c>
      <c r="J3" s="8" t="s">
        <v>524</v>
      </c>
      <c r="K3" s="8" t="s">
        <v>85</v>
      </c>
    </row>
    <row r="4" customFormat="false" ht="15" hidden="false" customHeight="true" outlineLevel="0" collapsed="false">
      <c r="A4" s="10" t="n">
        <v>1</v>
      </c>
      <c r="B4" s="10"/>
      <c r="C4" s="10"/>
      <c r="D4" s="9"/>
      <c r="E4" s="10"/>
      <c r="F4" s="10"/>
      <c r="G4" s="10"/>
      <c r="H4" s="10" t="str">
        <f aca="false">IF(F4*G4=0,"",F4*G4)</f>
        <v/>
      </c>
      <c r="I4" s="10"/>
      <c r="J4" s="10"/>
      <c r="K4" s="9"/>
    </row>
    <row r="5" customFormat="false" ht="15" hidden="false" customHeight="true" outlineLevel="0" collapsed="false">
      <c r="A5" s="12" t="n">
        <v>2</v>
      </c>
      <c r="B5" s="12"/>
      <c r="C5" s="12"/>
      <c r="D5" s="11"/>
      <c r="E5" s="12"/>
      <c r="F5" s="12"/>
      <c r="G5" s="12"/>
      <c r="H5" s="12" t="str">
        <f aca="false">IF(F5*G5=0,"",F5*G5)</f>
        <v/>
      </c>
      <c r="I5" s="12"/>
      <c r="J5" s="12"/>
      <c r="K5" s="11"/>
    </row>
    <row r="6" customFormat="false" ht="15" hidden="false" customHeight="true" outlineLevel="0" collapsed="false">
      <c r="A6" s="10" t="n">
        <v>3</v>
      </c>
      <c r="B6" s="10"/>
      <c r="C6" s="10"/>
      <c r="D6" s="9"/>
      <c r="E6" s="10"/>
      <c r="F6" s="10"/>
      <c r="G6" s="10"/>
      <c r="H6" s="10" t="str">
        <f aca="false">IF(F6*G6=0,"",F6*G6)</f>
        <v/>
      </c>
      <c r="I6" s="10"/>
      <c r="J6" s="10"/>
      <c r="K6" s="9"/>
    </row>
    <row r="7" customFormat="false" ht="15" hidden="false" customHeight="true" outlineLevel="0" collapsed="false">
      <c r="A7" s="12" t="n">
        <v>4</v>
      </c>
      <c r="B7" s="12"/>
      <c r="C7" s="12"/>
      <c r="D7" s="11"/>
      <c r="E7" s="12"/>
      <c r="F7" s="12"/>
      <c r="G7" s="12"/>
      <c r="H7" s="12" t="str">
        <f aca="false">IF(F7*G7=0,"",F7*G7)</f>
        <v/>
      </c>
      <c r="I7" s="12"/>
      <c r="J7" s="12"/>
      <c r="K7" s="11"/>
    </row>
    <row r="8" customFormat="false" ht="15" hidden="false" customHeight="true" outlineLevel="0" collapsed="false">
      <c r="A8" s="10" t="n">
        <v>5</v>
      </c>
      <c r="B8" s="10"/>
      <c r="C8" s="10"/>
      <c r="D8" s="9"/>
      <c r="E8" s="10"/>
      <c r="F8" s="10"/>
      <c r="G8" s="10"/>
      <c r="H8" s="10" t="str">
        <f aca="false">IF(F8*G8=0,"",F8*G8)</f>
        <v/>
      </c>
      <c r="I8" s="10"/>
      <c r="J8" s="10"/>
      <c r="K8" s="9"/>
    </row>
    <row r="9" customFormat="false" ht="15" hidden="false" customHeight="true" outlineLevel="0" collapsed="false">
      <c r="A9" s="12" t="n">
        <v>6</v>
      </c>
      <c r="B9" s="12"/>
      <c r="C9" s="12"/>
      <c r="D9" s="11"/>
      <c r="E9" s="12"/>
      <c r="F9" s="12"/>
      <c r="G9" s="12"/>
      <c r="H9" s="12" t="str">
        <f aca="false">IF(F9*G9=0,"",F9*G9)</f>
        <v/>
      </c>
      <c r="I9" s="12"/>
      <c r="J9" s="12"/>
      <c r="K9" s="11"/>
    </row>
    <row r="10" customFormat="false" ht="15" hidden="false" customHeight="true" outlineLevel="0" collapsed="false">
      <c r="A10" s="10" t="n">
        <v>7</v>
      </c>
      <c r="B10" s="10"/>
      <c r="C10" s="10"/>
      <c r="D10" s="9"/>
      <c r="E10" s="10"/>
      <c r="F10" s="10"/>
      <c r="G10" s="10"/>
      <c r="H10" s="10" t="str">
        <f aca="false">IF(F10*G10=0,"",F10*G10)</f>
        <v/>
      </c>
      <c r="I10" s="10"/>
      <c r="J10" s="10"/>
      <c r="K10" s="9"/>
    </row>
    <row r="11" customFormat="false" ht="15" hidden="false" customHeight="true" outlineLevel="0" collapsed="false">
      <c r="A11" s="12" t="n">
        <v>8</v>
      </c>
      <c r="B11" s="12"/>
      <c r="C11" s="12"/>
      <c r="D11" s="11"/>
      <c r="E11" s="12"/>
      <c r="F11" s="12"/>
      <c r="G11" s="12"/>
      <c r="H11" s="12" t="str">
        <f aca="false">IF(F11*G11=0,"",F11*G11)</f>
        <v/>
      </c>
      <c r="I11" s="12"/>
      <c r="J11" s="12"/>
      <c r="K11" s="11"/>
    </row>
    <row r="12" customFormat="false" ht="15" hidden="false" customHeight="true" outlineLevel="0" collapsed="false">
      <c r="A12" s="10" t="n">
        <v>9</v>
      </c>
      <c r="B12" s="10"/>
      <c r="C12" s="10"/>
      <c r="D12" s="9"/>
      <c r="E12" s="10"/>
      <c r="F12" s="10"/>
      <c r="G12" s="10"/>
      <c r="H12" s="10" t="str">
        <f aca="false">IF(F12*G12=0,"",F12*G12)</f>
        <v/>
      </c>
      <c r="I12" s="10"/>
      <c r="J12" s="10"/>
      <c r="K12" s="9"/>
    </row>
    <row r="13" customFormat="false" ht="15" hidden="false" customHeight="true" outlineLevel="0" collapsed="false">
      <c r="A13" s="12" t="n">
        <v>10</v>
      </c>
      <c r="B13" s="12"/>
      <c r="C13" s="12"/>
      <c r="D13" s="11"/>
      <c r="E13" s="12"/>
      <c r="F13" s="12"/>
      <c r="G13" s="12"/>
      <c r="H13" s="12" t="str">
        <f aca="false">IF(F13*G13=0,"",F13*G13)</f>
        <v/>
      </c>
      <c r="I13" s="12"/>
      <c r="J13" s="12"/>
      <c r="K13" s="11"/>
    </row>
    <row r="14" customFormat="false" ht="15" hidden="false" customHeight="true" outlineLevel="0" collapsed="false">
      <c r="A14" s="10" t="n">
        <v>11</v>
      </c>
      <c r="B14" s="10"/>
      <c r="C14" s="10"/>
      <c r="D14" s="9"/>
      <c r="E14" s="10"/>
      <c r="F14" s="10"/>
      <c r="G14" s="10"/>
      <c r="H14" s="10" t="str">
        <f aca="false">IF(F14*G14=0,"",F14*G14)</f>
        <v/>
      </c>
      <c r="I14" s="10"/>
      <c r="J14" s="10"/>
      <c r="K14" s="9"/>
    </row>
    <row r="15" customFormat="false" ht="15" hidden="false" customHeight="true" outlineLevel="0" collapsed="false">
      <c r="A15" s="12" t="n">
        <v>12</v>
      </c>
      <c r="B15" s="12"/>
      <c r="C15" s="12"/>
      <c r="D15" s="11"/>
      <c r="E15" s="12"/>
      <c r="F15" s="12"/>
      <c r="G15" s="12"/>
      <c r="H15" s="12" t="str">
        <f aca="false">IF(F15*G15=0,"",F15*G15)</f>
        <v/>
      </c>
      <c r="I15" s="12"/>
      <c r="J15" s="12"/>
      <c r="K15" s="11"/>
    </row>
    <row r="16" customFormat="false" ht="15" hidden="false" customHeight="true" outlineLevel="0" collapsed="false">
      <c r="A16" s="10" t="n">
        <v>13</v>
      </c>
      <c r="B16" s="10"/>
      <c r="C16" s="10"/>
      <c r="D16" s="9"/>
      <c r="E16" s="10"/>
      <c r="F16" s="10"/>
      <c r="G16" s="10"/>
      <c r="H16" s="10" t="str">
        <f aca="false">IF(F16*G16=0,"",F16*G16)</f>
        <v/>
      </c>
      <c r="I16" s="10"/>
      <c r="J16" s="10"/>
      <c r="K16" s="9"/>
    </row>
    <row r="17" customFormat="false" ht="15" hidden="false" customHeight="true" outlineLevel="0" collapsed="false">
      <c r="A17" s="12" t="n">
        <v>14</v>
      </c>
      <c r="B17" s="12"/>
      <c r="C17" s="12"/>
      <c r="D17" s="11"/>
      <c r="E17" s="12"/>
      <c r="F17" s="12"/>
      <c r="G17" s="12"/>
      <c r="H17" s="12" t="str">
        <f aca="false">IF(F17*G17=0,"",F17*G17)</f>
        <v/>
      </c>
      <c r="I17" s="12"/>
      <c r="J17" s="12"/>
      <c r="K17" s="11"/>
    </row>
    <row r="18" customFormat="false" ht="15" hidden="false" customHeight="true" outlineLevel="0" collapsed="false">
      <c r="A18" s="10" t="n">
        <v>15</v>
      </c>
      <c r="B18" s="10"/>
      <c r="C18" s="10"/>
      <c r="D18" s="9"/>
      <c r="E18" s="10"/>
      <c r="F18" s="10"/>
      <c r="G18" s="10"/>
      <c r="H18" s="10" t="str">
        <f aca="false">IF(F18*G18=0,"",F18*G18)</f>
        <v/>
      </c>
      <c r="I18" s="10"/>
      <c r="J18" s="10"/>
      <c r="K18" s="9"/>
    </row>
    <row r="19" customFormat="false" ht="15" hidden="false" customHeight="true" outlineLevel="0" collapsed="false">
      <c r="A19" s="12" t="n">
        <v>16</v>
      </c>
      <c r="B19" s="12"/>
      <c r="C19" s="12"/>
      <c r="D19" s="11"/>
      <c r="E19" s="12"/>
      <c r="F19" s="12"/>
      <c r="G19" s="12"/>
      <c r="H19" s="12" t="str">
        <f aca="false">IF(F19*G19=0,"",F19*G19)</f>
        <v/>
      </c>
      <c r="I19" s="12"/>
      <c r="J19" s="12"/>
      <c r="K19" s="11"/>
    </row>
    <row r="20" customFormat="false" ht="15" hidden="false" customHeight="true" outlineLevel="0" collapsed="false">
      <c r="A20" s="10" t="n">
        <v>17</v>
      </c>
      <c r="B20" s="10"/>
      <c r="C20" s="10"/>
      <c r="D20" s="9"/>
      <c r="E20" s="10"/>
      <c r="F20" s="10"/>
      <c r="G20" s="10"/>
      <c r="H20" s="10" t="str">
        <f aca="false">IF(F20*G20=0,"",F20*G20)</f>
        <v/>
      </c>
      <c r="I20" s="10"/>
      <c r="J20" s="10"/>
      <c r="K20" s="9"/>
    </row>
    <row r="21" customFormat="false" ht="15" hidden="false" customHeight="true" outlineLevel="0" collapsed="false">
      <c r="A21" s="12" t="n">
        <v>18</v>
      </c>
      <c r="B21" s="12"/>
      <c r="C21" s="12"/>
      <c r="D21" s="11"/>
      <c r="E21" s="12"/>
      <c r="F21" s="12"/>
      <c r="G21" s="12"/>
      <c r="H21" s="12" t="str">
        <f aca="false">IF(F21*G21=0,"",F21*G21)</f>
        <v/>
      </c>
      <c r="I21" s="12"/>
      <c r="J21" s="12"/>
      <c r="K21" s="11"/>
    </row>
    <row r="22" customFormat="false" ht="15" hidden="false" customHeight="true" outlineLevel="0" collapsed="false">
      <c r="A22" s="10" t="n">
        <v>19</v>
      </c>
      <c r="B22" s="10"/>
      <c r="C22" s="10"/>
      <c r="D22" s="9"/>
      <c r="E22" s="10"/>
      <c r="F22" s="10"/>
      <c r="G22" s="10"/>
      <c r="H22" s="10" t="str">
        <f aca="false">IF(F22*G22=0,"",F22*G22)</f>
        <v/>
      </c>
      <c r="I22" s="10"/>
      <c r="J22" s="10"/>
      <c r="K22" s="9"/>
    </row>
    <row r="23" customFormat="false" ht="15" hidden="false" customHeight="true" outlineLevel="0" collapsed="false">
      <c r="A23" s="12" t="n">
        <v>20</v>
      </c>
      <c r="B23" s="12"/>
      <c r="C23" s="12"/>
      <c r="D23" s="11"/>
      <c r="E23" s="12"/>
      <c r="F23" s="12"/>
      <c r="G23" s="12"/>
      <c r="H23" s="12" t="str">
        <f aca="false">IF(F23*G23=0,"",F23*G23)</f>
        <v/>
      </c>
      <c r="I23" s="12"/>
      <c r="J23" s="12"/>
      <c r="K23" s="11"/>
    </row>
    <row r="24" customFormat="false" ht="15" hidden="false" customHeight="true" outlineLevel="0" collapsed="false">
      <c r="A24" s="10" t="n">
        <v>21</v>
      </c>
      <c r="B24" s="10"/>
      <c r="C24" s="10"/>
      <c r="D24" s="9"/>
      <c r="E24" s="10"/>
      <c r="F24" s="10"/>
      <c r="G24" s="10"/>
      <c r="H24" s="10" t="str">
        <f aca="false">IF(F24*G24=0,"",F24*G24)</f>
        <v/>
      </c>
      <c r="I24" s="10"/>
      <c r="J24" s="10"/>
      <c r="K24" s="9"/>
    </row>
    <row r="25" customFormat="false" ht="15" hidden="false" customHeight="true" outlineLevel="0" collapsed="false">
      <c r="A25" s="12" t="n">
        <v>22</v>
      </c>
      <c r="B25" s="12"/>
      <c r="C25" s="12"/>
      <c r="D25" s="11"/>
      <c r="E25" s="12"/>
      <c r="F25" s="12"/>
      <c r="G25" s="12"/>
      <c r="H25" s="12" t="str">
        <f aca="false">IF(F25*G25=0,"",F25*G25)</f>
        <v/>
      </c>
      <c r="I25" s="12"/>
      <c r="J25" s="12"/>
      <c r="K25" s="11"/>
    </row>
    <row r="26" customFormat="false" ht="15" hidden="false" customHeight="true" outlineLevel="0" collapsed="false">
      <c r="A26" s="10" t="n">
        <v>23</v>
      </c>
      <c r="B26" s="10"/>
      <c r="C26" s="10"/>
      <c r="D26" s="9"/>
      <c r="E26" s="10"/>
      <c r="F26" s="10"/>
      <c r="G26" s="10"/>
      <c r="H26" s="10" t="str">
        <f aca="false">IF(F26*G26=0,"",F26*G26)</f>
        <v/>
      </c>
      <c r="I26" s="10"/>
      <c r="J26" s="10"/>
      <c r="K26" s="9"/>
    </row>
    <row r="27" customFormat="false" ht="15" hidden="false" customHeight="true" outlineLevel="0" collapsed="false">
      <c r="A27" s="12" t="n">
        <v>24</v>
      </c>
      <c r="B27" s="12"/>
      <c r="C27" s="12"/>
      <c r="D27" s="11"/>
      <c r="E27" s="12"/>
      <c r="F27" s="12"/>
      <c r="G27" s="12"/>
      <c r="H27" s="12" t="str">
        <f aca="false">IF(F27*G27=0,"",F27*G27)</f>
        <v/>
      </c>
      <c r="I27" s="12"/>
      <c r="J27" s="12"/>
      <c r="K27" s="11"/>
    </row>
    <row r="28" customFormat="false" ht="15" hidden="false" customHeight="true" outlineLevel="0" collapsed="false">
      <c r="A28" s="10" t="n">
        <v>25</v>
      </c>
      <c r="B28" s="10"/>
      <c r="C28" s="10"/>
      <c r="D28" s="9"/>
      <c r="E28" s="10"/>
      <c r="F28" s="10"/>
      <c r="G28" s="10"/>
      <c r="H28" s="10" t="str">
        <f aca="false">IF(F28*G28=0,"",F28*G28)</f>
        <v/>
      </c>
      <c r="I28" s="10"/>
      <c r="J28" s="10"/>
      <c r="K28" s="9"/>
    </row>
    <row r="29" customFormat="false" ht="15" hidden="false" customHeight="true" outlineLevel="0" collapsed="false">
      <c r="A29" s="12" t="n">
        <v>26</v>
      </c>
      <c r="B29" s="12"/>
      <c r="C29" s="12"/>
      <c r="D29" s="11"/>
      <c r="E29" s="12"/>
      <c r="F29" s="12"/>
      <c r="G29" s="12"/>
      <c r="H29" s="12" t="str">
        <f aca="false">IF(F29*G29=0,"",F29*G29)</f>
        <v/>
      </c>
      <c r="I29" s="12"/>
      <c r="J29" s="12"/>
      <c r="K29" s="11"/>
    </row>
    <row r="30" customFormat="false" ht="15" hidden="false" customHeight="true" outlineLevel="0" collapsed="false">
      <c r="A30" s="10" t="n">
        <v>27</v>
      </c>
      <c r="B30" s="10"/>
      <c r="C30" s="10"/>
      <c r="D30" s="9"/>
      <c r="E30" s="10"/>
      <c r="F30" s="10"/>
      <c r="G30" s="10"/>
      <c r="H30" s="10" t="str">
        <f aca="false">IF(F30*G30=0,"",F30*G30)</f>
        <v/>
      </c>
      <c r="I30" s="10"/>
      <c r="J30" s="10"/>
      <c r="K30" s="9"/>
    </row>
    <row r="31" customFormat="false" ht="15" hidden="false" customHeight="true" outlineLevel="0" collapsed="false">
      <c r="A31" s="12" t="n">
        <v>28</v>
      </c>
      <c r="B31" s="12"/>
      <c r="C31" s="12"/>
      <c r="D31" s="11"/>
      <c r="E31" s="12"/>
      <c r="F31" s="12"/>
      <c r="G31" s="12"/>
      <c r="H31" s="12" t="str">
        <f aca="false">IF(F31*G31=0,"",F31*G31)</f>
        <v/>
      </c>
      <c r="I31" s="12"/>
      <c r="J31" s="12"/>
      <c r="K31" s="11"/>
    </row>
    <row r="32" customFormat="false" ht="15" hidden="false" customHeight="true" outlineLevel="0" collapsed="false">
      <c r="A32" s="10" t="n">
        <v>29</v>
      </c>
      <c r="B32" s="10"/>
      <c r="C32" s="10"/>
      <c r="D32" s="9"/>
      <c r="E32" s="10"/>
      <c r="F32" s="10"/>
      <c r="G32" s="10"/>
      <c r="H32" s="10" t="str">
        <f aca="false">IF(F32*G32=0,"",F32*G32)</f>
        <v/>
      </c>
      <c r="I32" s="10"/>
      <c r="J32" s="10"/>
      <c r="K32" s="9"/>
    </row>
    <row r="33" customFormat="false" ht="15" hidden="false" customHeight="true" outlineLevel="0" collapsed="false">
      <c r="A33" s="12" t="n">
        <v>30</v>
      </c>
      <c r="B33" s="12"/>
      <c r="C33" s="12"/>
      <c r="D33" s="11"/>
      <c r="E33" s="12"/>
      <c r="F33" s="12"/>
      <c r="G33" s="12"/>
      <c r="H33" s="12" t="str">
        <f aca="false">IF(F33*G33=0,"",F33*G33)</f>
        <v/>
      </c>
      <c r="I33" s="12"/>
      <c r="J33" s="12"/>
      <c r="K33" s="11"/>
    </row>
    <row r="34" customFormat="false" ht="16.5" hidden="false" customHeight="true" outlineLevel="0" collapsed="false">
      <c r="A34" s="24" t="s">
        <v>525</v>
      </c>
      <c r="B34" s="24"/>
      <c r="H34" s="23" t="n">
        <f aca="false">SUM(H4:H33)</f>
        <v>0</v>
      </c>
    </row>
    <row r="35" customFormat="false" ht="4.5" hidden="false" customHeight="true" outlineLevel="0" collapsed="false"/>
    <row r="36" customFormat="false" ht="21.75" hidden="false" customHeight="true" outlineLevel="0" collapsed="false">
      <c r="A36" s="5" t="s">
        <v>526</v>
      </c>
      <c r="B36" s="5"/>
      <c r="C36" s="5"/>
      <c r="D36" s="5"/>
      <c r="E36" s="5"/>
      <c r="F36" s="5"/>
      <c r="G36" s="5"/>
      <c r="H36" s="5"/>
      <c r="I36" s="5"/>
      <c r="J36" s="5"/>
      <c r="K36" s="5"/>
    </row>
    <row r="37" customFormat="false" ht="15.75" hidden="false" customHeight="true" outlineLevel="0" collapsed="false">
      <c r="A37" s="6" t="s">
        <v>527</v>
      </c>
      <c r="B37" s="6"/>
      <c r="C37" s="6"/>
      <c r="D37" s="6"/>
      <c r="E37" s="6"/>
      <c r="F37" s="14" t="n">
        <f aca="false">H34</f>
        <v>0</v>
      </c>
    </row>
    <row r="38" customFormat="false" ht="15.75" hidden="false" customHeight="true" outlineLevel="0" collapsed="false">
      <c r="A38" s="6" t="s">
        <v>528</v>
      </c>
      <c r="B38" s="6"/>
      <c r="C38" s="6"/>
      <c r="D38" s="6"/>
      <c r="E38" s="6"/>
      <c r="F38" s="14"/>
    </row>
    <row r="39" customFormat="false" ht="15.75" hidden="false" customHeight="true" outlineLevel="0" collapsed="false">
      <c r="A39" s="6" t="s">
        <v>529</v>
      </c>
      <c r="B39" s="6"/>
      <c r="C39" s="6"/>
      <c r="D39" s="6"/>
      <c r="E39" s="6"/>
      <c r="F39" s="14"/>
    </row>
    <row r="40" customFormat="false" ht="15.75" hidden="false" customHeight="true" outlineLevel="0" collapsed="false">
      <c r="A40" s="6" t="s">
        <v>530</v>
      </c>
      <c r="B40" s="6"/>
      <c r="C40" s="6"/>
      <c r="D40" s="6"/>
      <c r="E40" s="6"/>
      <c r="F40" s="14" t="str">
        <f aca="false">IF(B38*B39=0,"",B38*B39)</f>
        <v/>
      </c>
    </row>
    <row r="41" customFormat="false" ht="15.75" hidden="false" customHeight="true" outlineLevel="0" collapsed="false">
      <c r="A41" s="6" t="s">
        <v>531</v>
      </c>
      <c r="B41" s="6"/>
      <c r="C41" s="6"/>
      <c r="D41" s="6"/>
      <c r="E41" s="6"/>
      <c r="F41" s="14"/>
    </row>
    <row r="42" customFormat="false" ht="15.75" hidden="false" customHeight="true" outlineLevel="0" collapsed="false">
      <c r="A42" s="6" t="s">
        <v>532</v>
      </c>
      <c r="B42" s="6"/>
      <c r="C42" s="6"/>
      <c r="D42" s="6"/>
      <c r="E42" s="6"/>
      <c r="F42" s="14" t="str">
        <f aca="false">IF(B37+B40+B41=0,"",B37+B40+B41)</f>
        <v/>
      </c>
    </row>
    <row r="43" customFormat="false" ht="15.75" hidden="false" customHeight="true" outlineLevel="0" collapsed="false">
      <c r="A43" s="6" t="s">
        <v>533</v>
      </c>
      <c r="B43" s="6"/>
      <c r="C43" s="6"/>
      <c r="D43" s="6"/>
      <c r="E43" s="6"/>
      <c r="F43" s="14"/>
    </row>
    <row r="44" customFormat="false" ht="15.75" hidden="false" customHeight="true" outlineLevel="0" collapsed="false">
      <c r="A44" s="6" t="s">
        <v>534</v>
      </c>
      <c r="B44" s="6"/>
      <c r="C44" s="6"/>
      <c r="D44" s="6"/>
      <c r="E44" s="6"/>
      <c r="F44" s="14" t="str">
        <f aca="false">IF(B43=0,"",B42-B43)</f>
        <v/>
      </c>
    </row>
    <row r="45" customFormat="false" ht="4.5" hidden="false" customHeight="true" outlineLevel="0" collapsed="false"/>
    <row r="46" customFormat="false" ht="18" hidden="false" customHeight="true" outlineLevel="0" collapsed="false">
      <c r="A46" s="13" t="s">
        <v>70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</row>
  </sheetData>
  <mergeCells count="14">
    <mergeCell ref="A1:E1"/>
    <mergeCell ref="F1:K1"/>
    <mergeCell ref="A2:K2"/>
    <mergeCell ref="A34:B34"/>
    <mergeCell ref="A36:K36"/>
    <mergeCell ref="A37:E37"/>
    <mergeCell ref="A38:E38"/>
    <mergeCell ref="A39:E39"/>
    <mergeCell ref="A40:E40"/>
    <mergeCell ref="A41:E41"/>
    <mergeCell ref="A42:E42"/>
    <mergeCell ref="A43:E43"/>
    <mergeCell ref="A44:E44"/>
    <mergeCell ref="A46:K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4"/>
    <col collapsed="false" customWidth="true" hidden="false" outlineLevel="0" max="12" min="4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</row>
    <row r="2" customFormat="false" ht="7.5" hidden="false" customHeight="true" outlineLevel="0" collapsed="false"/>
    <row r="3" customFormat="false" ht="27.75" hidden="false" customHeight="true" outlineLevel="0" collapsed="false">
      <c r="A3" s="25" t="s">
        <v>535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customFormat="false" ht="4.5" hidden="false" customHeight="true" outlineLevel="0" collapsed="false"/>
    <row r="5" customFormat="false" ht="21.75" hidden="false" customHeight="true" outlineLevel="0" collapsed="false">
      <c r="A5" s="5" t="s">
        <v>536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customFormat="false" ht="18" hidden="false" customHeight="true" outlineLevel="0" collapsed="false">
      <c r="A6" s="8" t="s">
        <v>36</v>
      </c>
      <c r="B6" s="8" t="s">
        <v>537</v>
      </c>
      <c r="C6" s="8" t="s">
        <v>538</v>
      </c>
      <c r="D6" s="8" t="s">
        <v>539</v>
      </c>
      <c r="E6" s="8" t="s">
        <v>540</v>
      </c>
      <c r="F6" s="8" t="s">
        <v>178</v>
      </c>
      <c r="G6" s="8" t="s">
        <v>541</v>
      </c>
      <c r="H6" s="8" t="s">
        <v>542</v>
      </c>
    </row>
    <row r="7" customFormat="false" ht="15.75" hidden="false" customHeight="true" outlineLevel="0" collapsed="false">
      <c r="A7" s="21" t="s">
        <v>543</v>
      </c>
      <c r="B7" s="10"/>
      <c r="C7" s="10"/>
      <c r="D7" s="10"/>
      <c r="E7" s="10" t="str">
        <f aca="false">IF(B7&gt;0,C7/B7,"")</f>
        <v/>
      </c>
      <c r="F7" s="10"/>
      <c r="G7" s="10"/>
      <c r="H7" s="10"/>
    </row>
    <row r="8" customFormat="false" ht="15.75" hidden="false" customHeight="true" outlineLevel="0" collapsed="false">
      <c r="A8" s="21" t="s">
        <v>544</v>
      </c>
      <c r="B8" s="12"/>
      <c r="C8" s="12"/>
      <c r="D8" s="12"/>
      <c r="E8" s="12" t="str">
        <f aca="false">IF(B8&gt;0,C8/B8,"")</f>
        <v/>
      </c>
      <c r="F8" s="12"/>
      <c r="G8" s="12"/>
      <c r="H8" s="12"/>
    </row>
    <row r="9" customFormat="false" ht="15.75" hidden="false" customHeight="true" outlineLevel="0" collapsed="false">
      <c r="A9" s="21" t="s">
        <v>545</v>
      </c>
      <c r="B9" s="10"/>
      <c r="C9" s="10"/>
      <c r="D9" s="10"/>
      <c r="E9" s="10" t="str">
        <f aca="false">IF(B9&gt;0,C9/B9,"")</f>
        <v/>
      </c>
      <c r="F9" s="10"/>
      <c r="G9" s="10"/>
      <c r="H9" s="10"/>
    </row>
    <row r="10" customFormat="false" ht="15.75" hidden="false" customHeight="true" outlineLevel="0" collapsed="false">
      <c r="A10" s="21" t="s">
        <v>55</v>
      </c>
      <c r="B10" s="12"/>
      <c r="C10" s="12"/>
      <c r="D10" s="12"/>
      <c r="E10" s="12" t="str">
        <f aca="false">IF(B10&gt;0,C10/B10,"")</f>
        <v/>
      </c>
      <c r="F10" s="12"/>
      <c r="G10" s="12"/>
      <c r="H10" s="12"/>
    </row>
    <row r="11" customFormat="false" ht="15.75" hidden="false" customHeight="true" outlineLevel="0" collapsed="false">
      <c r="A11" s="21" t="s">
        <v>56</v>
      </c>
      <c r="B11" s="10"/>
      <c r="C11" s="10"/>
      <c r="D11" s="10"/>
      <c r="E11" s="10" t="str">
        <f aca="false">IF(B11&gt;0,C11/B11,"")</f>
        <v/>
      </c>
      <c r="F11" s="10"/>
      <c r="G11" s="10"/>
      <c r="H11" s="10"/>
    </row>
    <row r="12" customFormat="false" ht="15.75" hidden="false" customHeight="true" outlineLevel="0" collapsed="false">
      <c r="A12" s="21" t="s">
        <v>58</v>
      </c>
      <c r="B12" s="12"/>
      <c r="C12" s="12"/>
      <c r="D12" s="12"/>
      <c r="E12" s="12" t="str">
        <f aca="false">IF(B12&gt;0,C12/B12,"")</f>
        <v/>
      </c>
      <c r="F12" s="12"/>
      <c r="G12" s="12"/>
      <c r="H12" s="12"/>
    </row>
    <row r="13" customFormat="false" ht="15.75" hidden="false" customHeight="true" outlineLevel="0" collapsed="false">
      <c r="A13" s="21" t="s">
        <v>546</v>
      </c>
      <c r="B13" s="10"/>
      <c r="C13" s="10"/>
      <c r="D13" s="10"/>
      <c r="E13" s="10" t="str">
        <f aca="false">IF(B13&gt;0,C13/B13,"")</f>
        <v/>
      </c>
      <c r="F13" s="10"/>
      <c r="G13" s="10"/>
      <c r="H13" s="10"/>
    </row>
    <row r="14" customFormat="false" ht="15.75" hidden="false" customHeight="true" outlineLevel="0" collapsed="false">
      <c r="A14" s="21" t="s">
        <v>547</v>
      </c>
      <c r="B14" s="12"/>
      <c r="C14" s="12"/>
      <c r="D14" s="12"/>
      <c r="E14" s="12" t="str">
        <f aca="false">IF(B14&gt;0,C14/B14,"")</f>
        <v/>
      </c>
      <c r="F14" s="12"/>
      <c r="G14" s="12"/>
      <c r="H14" s="12"/>
    </row>
    <row r="15" customFormat="false" ht="15.75" hidden="false" customHeight="true" outlineLevel="0" collapsed="false">
      <c r="A15" s="21" t="s">
        <v>548</v>
      </c>
      <c r="B15" s="10"/>
      <c r="C15" s="10"/>
      <c r="D15" s="10"/>
      <c r="E15" s="10" t="str">
        <f aca="false">IF(B15&gt;0,C15/B15,"")</f>
        <v/>
      </c>
      <c r="F15" s="10"/>
      <c r="G15" s="10"/>
      <c r="H15" s="10"/>
    </row>
    <row r="16" customFormat="false" ht="15.75" hidden="false" customHeight="true" outlineLevel="0" collapsed="false">
      <c r="A16" s="21" t="s">
        <v>62</v>
      </c>
      <c r="B16" s="12"/>
      <c r="C16" s="12"/>
      <c r="D16" s="12"/>
      <c r="E16" s="12" t="str">
        <f aca="false">IF(B16&gt;0,C16/B16,"")</f>
        <v/>
      </c>
      <c r="F16" s="12"/>
      <c r="G16" s="12"/>
      <c r="H16" s="12"/>
    </row>
    <row r="17" customFormat="false" ht="15.75" hidden="false" customHeight="true" outlineLevel="0" collapsed="false">
      <c r="A17" s="21" t="s">
        <v>549</v>
      </c>
      <c r="B17" s="10"/>
      <c r="C17" s="10"/>
      <c r="D17" s="10"/>
      <c r="E17" s="10" t="str">
        <f aca="false">IF(B17&gt;0,C17/B17,"")</f>
        <v/>
      </c>
      <c r="F17" s="10"/>
      <c r="G17" s="10"/>
      <c r="H17" s="10"/>
    </row>
    <row r="18" customFormat="false" ht="16.5" hidden="false" customHeight="true" outlineLevel="0" collapsed="false">
      <c r="A18" s="22" t="s">
        <v>550</v>
      </c>
      <c r="B18" s="23" t="n">
        <f aca="false">SUM(B7:B17)</f>
        <v>0</v>
      </c>
      <c r="C18" s="23" t="n">
        <f aca="false">SUM(C7:C17)</f>
        <v>0</v>
      </c>
      <c r="D18" s="23" t="n">
        <f aca="false">SUM(D7:D17)</f>
        <v>0</v>
      </c>
      <c r="E18" s="23" t="str">
        <f aca="false">IF(B18&gt;0,C18/B18,"")</f>
        <v/>
      </c>
      <c r="F18" s="23" t="n">
        <f aca="false">SUM(F7:F17)</f>
        <v>0</v>
      </c>
      <c r="G18" s="23" t="n">
        <f aca="false">SUM(G7:G17)</f>
        <v>0</v>
      </c>
    </row>
    <row r="19" customFormat="false" ht="4.5" hidden="false" customHeight="true" outlineLevel="0" collapsed="false"/>
    <row r="20" customFormat="false" ht="21.75" hidden="false" customHeight="true" outlineLevel="0" collapsed="false">
      <c r="A20" s="5" t="s">
        <v>551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customFormat="false" ht="15.75" hidden="false" customHeight="true" outlineLevel="0" collapsed="false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</row>
    <row r="22" customFormat="false" ht="15.75" hidden="false" customHeight="true" outlineLevel="0" collapsed="false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</row>
    <row r="23" customFormat="false" ht="15.75" hidden="false" customHeight="true" outlineLevel="0" collapsed="false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</row>
    <row r="24" customFormat="false" ht="15.75" hidden="false" customHeight="true" outlineLevel="0" collapsed="false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</row>
    <row r="25" customFormat="false" ht="15.75" hidden="false" customHeight="true" outlineLevel="0" collapsed="false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</row>
    <row r="26" customFormat="false" ht="15.75" hidden="false" customHeight="true" outlineLevel="0" collapsed="false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</row>
    <row r="27" customFormat="false" ht="15.75" hidden="false" customHeight="true" outlineLevel="0" collapsed="false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</row>
    <row r="28" customFormat="false" ht="15.75" hidden="false" customHeight="true" outlineLevel="0" collapsed="false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</row>
    <row r="29" customFormat="false" ht="15.75" hidden="false" customHeight="true" outlineLevel="0" collapsed="false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</row>
    <row r="30" customFormat="false" ht="15.75" hidden="false" customHeight="true" outlineLevel="0" collapsed="false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</row>
    <row r="31" customFormat="false" ht="4.5" hidden="false" customHeight="true" outlineLevel="0" collapsed="false"/>
    <row r="32" customFormat="false" ht="21.75" hidden="false" customHeight="true" outlineLevel="0" collapsed="false">
      <c r="A32" s="5" t="s">
        <v>552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customFormat="false" ht="15.75" hidden="false" customHeight="true" outlineLevel="0" collapsed="false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</row>
    <row r="34" customFormat="false" ht="15.75" hidden="false" customHeight="true" outlineLevel="0" collapsed="false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</row>
    <row r="35" customFormat="false" ht="15.75" hidden="false" customHeight="true" outlineLevel="0" collapsed="false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</row>
    <row r="36" customFormat="false" ht="15.75" hidden="false" customHeight="true" outlineLevel="0" collapsed="false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</row>
    <row r="37" customFormat="false" ht="15.75" hidden="false" customHeight="true" outlineLevel="0" collapsed="false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</row>
    <row r="38" customFormat="false" ht="15.75" hidden="false" customHeight="true" outlineLevel="0" collapsed="false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</row>
    <row r="39" customFormat="false" ht="4.5" hidden="false" customHeight="true" outlineLevel="0" collapsed="false"/>
    <row r="40" customFormat="false" ht="21.75" hidden="false" customHeight="true" outlineLevel="0" collapsed="false">
      <c r="A40" s="5" t="s">
        <v>553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customFormat="false" ht="19.5" hidden="false" customHeight="true" outlineLevel="0" collapsed="false">
      <c r="A41" s="6" t="s">
        <v>554</v>
      </c>
      <c r="B41" s="6"/>
      <c r="C41" s="6"/>
      <c r="D41" s="6" t="s">
        <v>555</v>
      </c>
      <c r="E41" s="6"/>
      <c r="F41" s="6"/>
      <c r="G41" s="6" t="s">
        <v>67</v>
      </c>
      <c r="H41" s="6"/>
      <c r="I41" s="6"/>
      <c r="J41" s="6" t="s">
        <v>68</v>
      </c>
      <c r="K41" s="6"/>
      <c r="L41" s="6"/>
    </row>
    <row r="42" customFormat="false" ht="19.5" hidden="false" customHeight="true" outlineLevel="0" collapsed="false">
      <c r="A42" s="6" t="s">
        <v>69</v>
      </c>
      <c r="B42" s="6"/>
      <c r="C42" s="6"/>
      <c r="D42" s="6" t="s">
        <v>556</v>
      </c>
      <c r="E42" s="6"/>
      <c r="F42" s="6"/>
      <c r="G42" s="6" t="s">
        <v>557</v>
      </c>
      <c r="H42" s="6"/>
      <c r="I42" s="6"/>
      <c r="J42" s="6" t="s">
        <v>558</v>
      </c>
      <c r="K42" s="6"/>
      <c r="L42" s="6"/>
    </row>
    <row r="43" customFormat="false" ht="19.5" hidden="false" customHeight="true" outlineLevel="0" collapsed="false">
      <c r="A43" s="6" t="s">
        <v>559</v>
      </c>
      <c r="B43" s="6"/>
      <c r="C43" s="6"/>
      <c r="D43" s="6" t="s">
        <v>555</v>
      </c>
      <c r="E43" s="6"/>
      <c r="F43" s="6"/>
      <c r="G43" s="6" t="s">
        <v>67</v>
      </c>
      <c r="H43" s="6"/>
      <c r="I43" s="6"/>
      <c r="J43" s="6" t="s">
        <v>560</v>
      </c>
      <c r="K43" s="6"/>
      <c r="L43" s="6"/>
    </row>
    <row r="44" customFormat="false" ht="19.5" hidden="false" customHeight="true" outlineLevel="0" collapsed="false">
      <c r="A44" s="6" t="s">
        <v>561</v>
      </c>
      <c r="B44" s="6"/>
      <c r="C44" s="6"/>
      <c r="D44" s="6" t="s">
        <v>562</v>
      </c>
      <c r="E44" s="6"/>
      <c r="F44" s="6"/>
      <c r="G44" s="6" t="s">
        <v>563</v>
      </c>
      <c r="H44" s="6"/>
      <c r="I44" s="6"/>
      <c r="J44" s="6" t="s">
        <v>68</v>
      </c>
      <c r="K44" s="6"/>
      <c r="L44" s="6"/>
    </row>
    <row r="45" customFormat="false" ht="4.5" hidden="false" customHeight="true" outlineLevel="0" collapsed="false"/>
    <row r="46" customFormat="false" ht="18" hidden="false" customHeight="true" outlineLevel="0" collapsed="false">
      <c r="A46" s="13" t="s">
        <v>70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</row>
  </sheetData>
  <mergeCells count="40">
    <mergeCell ref="A1:F1"/>
    <mergeCell ref="G1:L1"/>
    <mergeCell ref="A3:L3"/>
    <mergeCell ref="A5:L5"/>
    <mergeCell ref="A20:L20"/>
    <mergeCell ref="A21:L21"/>
    <mergeCell ref="A22:L22"/>
    <mergeCell ref="A23:L23"/>
    <mergeCell ref="A24:L24"/>
    <mergeCell ref="A25:L25"/>
    <mergeCell ref="A26:L26"/>
    <mergeCell ref="A27:L27"/>
    <mergeCell ref="A28:L28"/>
    <mergeCell ref="A29:L29"/>
    <mergeCell ref="A30:L30"/>
    <mergeCell ref="A32:L32"/>
    <mergeCell ref="A33:L33"/>
    <mergeCell ref="A34:L34"/>
    <mergeCell ref="A35:L35"/>
    <mergeCell ref="A36:L36"/>
    <mergeCell ref="A37:L37"/>
    <mergeCell ref="A38:L38"/>
    <mergeCell ref="A40:L40"/>
    <mergeCell ref="A41:C41"/>
    <mergeCell ref="D41:F41"/>
    <mergeCell ref="G41:I41"/>
    <mergeCell ref="J41:L41"/>
    <mergeCell ref="A42:C42"/>
    <mergeCell ref="D42:F42"/>
    <mergeCell ref="G42:I42"/>
    <mergeCell ref="J42:L42"/>
    <mergeCell ref="A43:C43"/>
    <mergeCell ref="D43:F43"/>
    <mergeCell ref="G43:I43"/>
    <mergeCell ref="J43:L43"/>
    <mergeCell ref="A44:C44"/>
    <mergeCell ref="D44:F44"/>
    <mergeCell ref="G44:I44"/>
    <mergeCell ref="J44:L44"/>
    <mergeCell ref="A46:L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2026-03-20T13:12:20Z</dcterms:created>
  <dc:creator>openpyxl</dc:creator>
  <dc:description/>
  <dc:language>en-US</dc:language>
  <cp:lastModifiedBy/>
  <dcterms:modified xsi:type="dcterms:W3CDTF">2026-03-20T13:12:21Z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