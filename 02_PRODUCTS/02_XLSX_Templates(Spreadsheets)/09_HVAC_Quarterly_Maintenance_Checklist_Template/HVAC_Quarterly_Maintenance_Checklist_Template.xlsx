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Quarterly Task Matrix" sheetId="2" state="visible" r:id="rId4"/>
    <sheet name="Q1 Checklist (Jan–Mar)" sheetId="3" state="visible" r:id="rId5"/>
    <sheet name="Q2 Checklist (Apr–Jun)" sheetId="4" state="visible" r:id="rId6"/>
    <sheet name="Q3 Checklist (Jul–Sep)" sheetId="5" state="visible" r:id="rId7"/>
    <sheet name="Q4 Checklist (Oct–Dec)" sheetId="6" state="visible" r:id="rId8"/>
    <sheet name="Refrigeration Data Log" sheetId="7" state="visible" r:id="rId9"/>
    <sheet name="Electrical &amp; Motor Data" sheetId="8" state="visible" r:id="rId10"/>
    <sheet name="Air Balance &amp; Airflow Log" sheetId="9" state="visible" r:id="rId11"/>
    <sheet name="Parts &amp; Materials Log" sheetId="10" state="visible" r:id="rId12"/>
    <sheet name="Deficiency Log" sheetId="11" state="visible" r:id="rId13"/>
    <sheet name="Annual KPI Summary" sheetId="12" state="visible" r:id="rId14"/>
    <sheet name="Annual Summary &amp; Sign-Off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<sst xmlns="http://schemas.openxmlformats.org/spreadsheetml/2006/main" count="1853" uniqueCount="463">
  <si>
    <t xml:space="preserve">Your HVAC Co.</t>
  </si>
  <si>
    <t xml:space="preserve">HVAC Quarterly Maintenance Checklist</t>
  </si>
  <si>
    <t xml:space="preserve">HVAC QUARTERLY MAINTENANCE CHECKLIST</t>
  </si>
  <si>
    <t xml:space="preserve">Scheduled Four-Visit Annual Maintenance Programme</t>
  </si>
  <si>
    <t xml:space="preserve">  📅  SELECT QUARTER</t>
  </si>
  <si>
    <t xml:space="preserve">  ☐  Q1 — January / February / March        ☐  Q2 — April / May / June        ☐  Q3 — July / August / September        ☐  Q4 — October / November / December</t>
  </si>
  <si>
    <t xml:space="preserve">  📋  VISIT &amp; SERVICE INFORMATION</t>
  </si>
  <si>
    <t xml:space="preserve">Work Order #:</t>
  </si>
  <si>
    <t xml:space="preserve">Visit Date:</t>
  </si>
  <si>
    <t xml:space="preserve">Quarter / Year:</t>
  </si>
  <si>
    <t xml:space="preserve">Next Quarter Due:</t>
  </si>
  <si>
    <t xml:space="preserve">Technician Name:</t>
  </si>
  <si>
    <t xml:space="preserve">Technician Licence #:</t>
  </si>
  <si>
    <t xml:space="preserve">Company / Employer:</t>
  </si>
  <si>
    <t xml:space="preserve">Supervisor / Lead Tech:</t>
  </si>
  <si>
    <t xml:space="preserve">Customer PO #:</t>
  </si>
  <si>
    <t xml:space="preserve">Time On Site (Start / End):</t>
  </si>
  <si>
    <t xml:space="preserve">Service Type:</t>
  </si>
  <si>
    <t xml:space="preserve">Priority Level:</t>
  </si>
  <si>
    <t xml:space="preserve">  🏢  SITE &amp; EQUIPMENT INFORMATION</t>
  </si>
  <si>
    <t xml:space="preserve">Site / Facility Name:</t>
  </si>
  <si>
    <t xml:space="preserve">Site Reference / Code:</t>
  </si>
  <si>
    <t xml:space="preserve">Site Address:</t>
  </si>
  <si>
    <t xml:space="preserve">City / State / Zip:</t>
  </si>
  <si>
    <t xml:space="preserve">Building Type / Use:</t>
  </si>
  <si>
    <t xml:space="preserve">Floor / Zone / Area:</t>
  </si>
  <si>
    <t xml:space="preserve">Unit / System Tag:</t>
  </si>
  <si>
    <t xml:space="preserve">Equipment Type:</t>
  </si>
  <si>
    <t xml:space="preserve">Manufacturer:</t>
  </si>
  <si>
    <t xml:space="preserve">Model Number:</t>
  </si>
  <si>
    <t xml:space="preserve">Serial Number:</t>
  </si>
  <si>
    <t xml:space="preserve">Install Year:</t>
  </si>
  <si>
    <t xml:space="preserve">Refrigerant Type:</t>
  </si>
  <si>
    <t xml:space="preserve">System Capacity:</t>
  </si>
  <si>
    <t xml:space="preserve">Drive Type (Belt / Direct / VFD):</t>
  </si>
  <si>
    <t xml:space="preserve">Number of Zones:</t>
  </si>
  <si>
    <t xml:space="preserve">  🌡️  SITE CONDITIONS AT TIME OF VISIT</t>
  </si>
  <si>
    <t xml:space="preserve">Outdoor Dry-Bulb Temp (°F):</t>
  </si>
  <si>
    <t xml:space="preserve">Outdoor RH (%):</t>
  </si>
  <si>
    <t xml:space="preserve">Indoor Dry-Bulb Temp (°F):</t>
  </si>
  <si>
    <t xml:space="preserve">Indoor RH (%):</t>
  </si>
  <si>
    <t xml:space="preserve">Weather Conditions:</t>
  </si>
  <si>
    <t xml:space="preserve">Barometric Pressure (in. Hg):</t>
  </si>
  <si>
    <t xml:space="preserve">Unit Operating Mode (Cool/Heat/Fan):</t>
  </si>
  <si>
    <t xml:space="preserve">Building Pressurisation Status:</t>
  </si>
  <si>
    <t xml:space="preserve">Last Quarterly Visit Date:</t>
  </si>
  <si>
    <t xml:space="preserve">Last Filter Change Date:</t>
  </si>
  <si>
    <t xml:space="preserve">  ✅  TECHNICIAN CERTIFICATION &amp; SIGN-OFF</t>
  </si>
  <si>
    <t xml:space="preserve">Signature:</t>
  </si>
  <si>
    <t xml:space="preserve">EPA 608 / Cert #:</t>
  </si>
  <si>
    <t xml:space="preserve">Date Completed:</t>
  </si>
  <si>
    <t xml:space="preserve">Reviewed / Approved By:</t>
  </si>
  <si>
    <t xml:space="preserve">Customer Acceptance:</t>
  </si>
  <si>
    <t xml:space="preserve">Your HVAC Co.  •  Rogers, AR  •  (479) 555-0100  •  www.yourhvacco.com</t>
  </si>
  <si>
    <t xml:space="preserve">  📋  QUARTERLY MAINTENANCE TASK MATRIX — FULL YEAR OVERVIEW</t>
  </si>
  <si>
    <t xml:space="preserve">  LEGEND:  ✓ = Completed   ✗ = Failed / Defect Found   — = N/A   ○ = Scheduled / Pending   ● = In Progress</t>
  </si>
  <si>
    <t xml:space="preserve">Maintenance Task</t>
  </si>
  <si>
    <t xml:space="preserve">Q1 Status</t>
  </si>
  <si>
    <t xml:space="preserve">Q2 Status</t>
  </si>
  <si>
    <t xml:space="preserve">Q3 Status</t>
  </si>
  <si>
    <t xml:space="preserve">Q4 Status</t>
  </si>
  <si>
    <t xml:space="preserve">Frequency</t>
  </si>
  <si>
    <t xml:space="preserve">Responsible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</si>
  <si>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</si>
  <si>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</si>
  <si>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</si>
  <si>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</si>
  <si>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</si>
  <si>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</si>
  <si>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</si>
  <si>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  ▶  FILTERS &amp; AIR QUALITY</t>
  </si>
  <si>
    <t xml:space="preserve">   Inspect &amp; replace primary air filters</t>
  </si>
  <si>
    <t xml:space="preserve">○</t>
  </si>
  <si>
    <t xml:space="preserve">Q</t>
  </si>
  <si>
    <t xml:space="preserve">Technician</t>
  </si>
  <si>
    <t xml:space="preserve">   Record filter differential pressure (as-found &amp; as-left)</t>
  </si>
  <si>
    <t xml:space="preserve">   Clean filter housing and rack</t>
  </si>
  <si>
    <t xml:space="preserve">   Inspect secondary / HEPA filters (if applicable)</t>
  </si>
  <si>
    <t xml:space="preserve">   Check &amp; calibrate IAQ / CO₂ sensors</t>
  </si>
  <si>
    <t xml:space="preserve">SA</t>
  </si>
  <si>
    <t xml:space="preserve">Controls Tech</t>
  </si>
  <si>
    <t xml:space="preserve">   Replace carbon / activated charcoal filters (if fitted)</t>
  </si>
  <si>
    <t xml:space="preserve">  ▶  FAN &amp; MOTOR</t>
  </si>
  <si>
    <t xml:space="preserve">   Inspect fan wheel / blades — clean and balance check</t>
  </si>
  <si>
    <t xml:space="preserve">   Lubricate fan shaft bearings (non-sealed)</t>
  </si>
  <si>
    <t xml:space="preserve">   Check fan belt condition, tension, and alignment</t>
  </si>
  <si>
    <t xml:space="preserve">   Measure motor amps — all phases (compare to FLA)</t>
  </si>
  <si>
    <t xml:space="preserve">   Measure motor voltage — all phases (check imbalance)</t>
  </si>
  <si>
    <t xml:space="preserve">   Check VFD operation and fault log (if installed)</t>
  </si>
  <si>
    <t xml:space="preserve">   Megger motor winding insulation resistance</t>
  </si>
  <si>
    <t xml:space="preserve">A</t>
  </si>
  <si>
    <t xml:space="preserve">   Inspect sheave condition and alignment</t>
  </si>
  <si>
    <t xml:space="preserve">  ▶  COILS &amp; HEAT EXCHANGE</t>
  </si>
  <si>
    <t xml:space="preserve">   Inspect evaporator coil — fouling, frost, damage</t>
  </si>
  <si>
    <t xml:space="preserve">   Clean evaporator coil fins (chemical wash if required)</t>
  </si>
  <si>
    <t xml:space="preserve">   Inspect condenser coil — fouling, damage</t>
  </si>
  <si>
    <t xml:space="preserve">   Clean condenser coil (pressure wash if required)</t>
  </si>
  <si>
    <t xml:space="preserve">   Measure coil entering/leaving air temperature (DB &amp; WB)</t>
  </si>
  <si>
    <t xml:space="preserve">   Check coil connections — refrigerant or hydronic leaks</t>
  </si>
  <si>
    <t xml:space="preserve">   Record coil static pressure drop</t>
  </si>
  <si>
    <t xml:space="preserve">  ▶  REFRIGERATION / DX SYSTEM</t>
  </si>
  <si>
    <t xml:space="preserve">   Record suction &amp; discharge pressures</t>
  </si>
  <si>
    <t xml:space="preserve">   Calculate &amp; record superheat and subcooling</t>
  </si>
  <si>
    <t xml:space="preserve">   Full refrigerant leak check — F-Gas / EPA log entry</t>
  </si>
  <si>
    <t xml:space="preserve">   Check compressor operation — noise, vibration, heat</t>
  </si>
  <si>
    <t xml:space="preserve">   Measure compressor amps — all phases</t>
  </si>
  <si>
    <t xml:space="preserve">   Test high &amp; low pressure safety controls</t>
  </si>
  <si>
    <t xml:space="preserve">   Check crankcase heater operation (if equipped)</t>
  </si>
  <si>
    <t xml:space="preserve">   Test TXV / EXV operation (if accessible)</t>
  </si>
  <si>
    <t xml:space="preserve">Refrigeration Tech</t>
  </si>
  <si>
    <t xml:space="preserve">  ▶  DRAIN PAN &amp; CONDENSATE</t>
  </si>
  <si>
    <t xml:space="preserve">   Inspect &amp; clean drain pan — no algae or standing water</t>
  </si>
  <si>
    <t xml:space="preserve">   Flush &amp; test condensate drain line</t>
  </si>
  <si>
    <t xml:space="preserve">   Prime condensate trap</t>
  </si>
  <si>
    <t xml:space="preserve">   Test condensate pump and float switch (if installed)</t>
  </si>
  <si>
    <t xml:space="preserve">   Inspect drain pan insulation integrity</t>
  </si>
  <si>
    <t xml:space="preserve">  ▶  ELECTRICAL &amp; CONTROLS</t>
  </si>
  <si>
    <t xml:space="preserve">   Check &amp; tighten all electrical terminal connections</t>
  </si>
  <si>
    <t xml:space="preserve">Electrician</t>
  </si>
  <si>
    <t xml:space="preserve">   Inspect contactors — contacts, coil, overload settings</t>
  </si>
  <si>
    <t xml:space="preserve">   Test capacitors (if accessible)</t>
  </si>
  <si>
    <t xml:space="preserve">   Verify all safety &amp; control setpoints — document</t>
  </si>
  <si>
    <t xml:space="preserve">   Test smoke detector / fire damper (if equipped)</t>
  </si>
  <si>
    <t xml:space="preserve">   Calibrate thermostat / BAS sensors</t>
  </si>
  <si>
    <t xml:space="preserve">   Check BAS / DDC integration and alarm history</t>
  </si>
  <si>
    <t xml:space="preserve">   Verify economiser operation (if applicable)</t>
  </si>
  <si>
    <t xml:space="preserve">  ▶  DUCTWORK &amp; AIRSIDE</t>
  </si>
  <si>
    <t xml:space="preserve">   Inspect accessible ductwork — no leaks or damage</t>
  </si>
  <si>
    <t xml:space="preserve">   Check &amp; operate balancing dampers</t>
  </si>
  <si>
    <t xml:space="preserve">   Inspect flexible duct connections — no tears or splits</t>
  </si>
  <si>
    <t xml:space="preserve">   Measure &amp; record supply air CFM (key terminals)</t>
  </si>
  <si>
    <t xml:space="preserve">   Inspect VAV boxes / terminal units (if installed)</t>
  </si>
  <si>
    <t xml:space="preserve">  ▶  HYDRONIC SYSTEM (IF APPLICABLE)</t>
  </si>
  <si>
    <t xml:space="preserve">   Check system pressure and top up if required</t>
  </si>
  <si>
    <t xml:space="preserve">   Test glycol / inhibitor concentration</t>
  </si>
  <si>
    <t xml:space="preserve">   Inspect pump seals, bearings, and amp draw</t>
  </si>
  <si>
    <t xml:space="preserve">   Clean strainer baskets</t>
  </si>
  <si>
    <t xml:space="preserve">   Check expansion vessel pre-charge pressure</t>
  </si>
  <si>
    <t xml:space="preserve">   Test chemical treatment levels</t>
  </si>
  <si>
    <t xml:space="preserve">  ▶  GENERAL &amp; SAFETY</t>
  </si>
  <si>
    <t xml:space="preserve">   Inspect unit cabinet — corrosion, loose panels, seals</t>
  </si>
  <si>
    <t xml:space="preserve">   Check vibration isolators — springs floating</t>
  </si>
  <si>
    <t xml:space="preserve">   Clean unit interior — remove dust and debris</t>
  </si>
  <si>
    <t xml:space="preserve">   Confirm unit labelling / asset tag is legible</t>
  </si>
  <si>
    <t xml:space="preserve">   Review fault log / alarm history — document findings</t>
  </si>
  <si>
    <t xml:space="preserve">   Complete deficiency log for all failed items</t>
  </si>
  <si>
    <t xml:space="preserve">  📊  ANNUAL COMPLETION SUMMARY</t>
  </si>
  <si>
    <t xml:space="preserve">Total Tasks on Matrix:</t>
  </si>
  <si>
    <t xml:space="preserve">Q1 — Tasks Completed:</t>
  </si>
  <si>
    <t xml:space="preserve">Q2 — Tasks Completed:</t>
  </si>
  <si>
    <t xml:space="preserve">Q3 — Tasks Completed:</t>
  </si>
  <si>
    <t xml:space="preserve">Q4 — Tasks Completed:</t>
  </si>
  <si>
    <t xml:space="preserve">  🗓️  Q1 — JANUARY / FEBRUARY / MARCH — QUARTERLY MAINTENANCE CHECKLIST</t>
  </si>
  <si>
    <t xml:space="preserve">Asset ID / Tag:</t>
  </si>
  <si>
    <t xml:space="preserve">PPM / WO Ref #:</t>
  </si>
  <si>
    <t xml:space="preserve">Unit Location:</t>
  </si>
  <si>
    <t xml:space="preserve">Time On / Off:</t>
  </si>
  <si>
    <t xml:space="preserve">Task / Inspection Item</t>
  </si>
  <si>
    <t xml:space="preserve">Pass</t>
  </si>
  <si>
    <t xml:space="preserve">Fail</t>
  </si>
  <si>
    <t xml:space="preserve">N/A</t>
  </si>
  <si>
    <t xml:space="preserve">Measurement / Reading</t>
  </si>
  <si>
    <t xml:space="preserve">Notes / Corrective Action</t>
  </si>
  <si>
    <t xml:space="preserve">  ▶  FILTERS</t>
  </si>
  <si>
    <t xml:space="preserve">   Record as-found filter differential pressure (in. wg)</t>
  </si>
  <si>
    <t xml:space="preserve">☐</t>
  </si>
  <si>
    <t xml:space="preserve">   Inspect filter condition — loading, bypass, damage</t>
  </si>
  <si>
    <t xml:space="preserve">   Replace primary filters — record MERV, size, qty</t>
  </si>
  <si>
    <t xml:space="preserve">   Replace secondary filters if required</t>
  </si>
  <si>
    <t xml:space="preserve">   Record as-left filter differential pressure (in. wg)</t>
  </si>
  <si>
    <t xml:space="preserve">   Document filter P/N, MERV rating, quantity installed</t>
  </si>
  <si>
    <t xml:space="preserve">  ▶  SUPPLY FAN &amp; MOTOR</t>
  </si>
  <si>
    <t xml:space="preserve">   Inspect fan wheel / blades — clean, no damage or imbalance</t>
  </si>
  <si>
    <t xml:space="preserve">   Check fan shaft bearings — noise, vibration, heat</t>
  </si>
  <si>
    <t xml:space="preserve">   Lubricate fan bearings (non-sealed type only)</t>
  </si>
  <si>
    <t xml:space="preserve">   Measure &amp; record motor amps — L1 / L2 / L3 (A)</t>
  </si>
  <si>
    <t xml:space="preserve">   Measure &amp; record motor voltage — L1-L2 / L2-L3 / L1-L3 (V)</t>
  </si>
  <si>
    <t xml:space="preserve">   Check VFD operation and review fault log (if installed)</t>
  </si>
  <si>
    <t xml:space="preserve">   Check motor mount — tighten bolts if required</t>
  </si>
  <si>
    <t xml:space="preserve">   Verify fan rotation direction</t>
  </si>
  <si>
    <t xml:space="preserve">  ▶  DRIVE BELTS &amp; SHEAVES</t>
  </si>
  <si>
    <t xml:space="preserve">   Inspect belts — cracking, glazing, fraying, correct tension</t>
  </si>
  <si>
    <t xml:space="preserve">   Measure &amp; adjust belt tension to manufacturer spec</t>
  </si>
  <si>
    <t xml:space="preserve">   Check belt alignment — realign sheaves if required</t>
  </si>
  <si>
    <t xml:space="preserve">   Inspect sheave condition — no cracks, worn grooves</t>
  </si>
  <si>
    <t xml:space="preserve">   Replace belts if condemned — record belt size &amp; qty</t>
  </si>
  <si>
    <t xml:space="preserve">   Inspect evaporator / cooling coil — fouling, frost, fin damage</t>
  </si>
  <si>
    <t xml:space="preserve">   Inspect heating coil — no damage, scale, fouling</t>
  </si>
  <si>
    <t xml:space="preserve">   Check coil connections — no refrigerant or water leaks</t>
  </si>
  <si>
    <t xml:space="preserve">   Measure &amp; record entering air dry-bulb temperature (°F)</t>
  </si>
  <si>
    <t xml:space="preserve">   Measure &amp; record leaving air dry-bulb temperature (°F)</t>
  </si>
  <si>
    <t xml:space="preserve">   Measure &amp; record entering air wet-bulb temp (°F — cooling)</t>
  </si>
  <si>
    <t xml:space="preserve">   Measure &amp; record leaving air wet-bulb temp (°F — cooling)</t>
  </si>
  <si>
    <t xml:space="preserve">  ▶  DX / REFRIGERATION SYSTEM</t>
  </si>
  <si>
    <t xml:space="preserve">   Record suction line pressure (PSIG)</t>
  </si>
  <si>
    <t xml:space="preserve">   Record discharge line pressure (PSIG)</t>
  </si>
  <si>
    <t xml:space="preserve">   Calculate &amp; record superheat (°F) — target 8–12°F</t>
  </si>
  <si>
    <t xml:space="preserve">   Calculate &amp; record subcooling (°F) — target 10–15°F</t>
  </si>
  <si>
    <t xml:space="preserve">   Check refrigerant charge — no signs of leak</t>
  </si>
  <si>
    <t xml:space="preserve">   Inspect compressor — noise, vibration, temperature</t>
  </si>
  <si>
    <t xml:space="preserve">   Check compressor contactor — contacts, coil, overload</t>
  </si>
  <si>
    <t xml:space="preserve">   Leak-test refrigerant circuit — log per F-Gas / EPA 608</t>
  </si>
  <si>
    <t xml:space="preserve">   Test condensate pump &amp; float switch (if installed)</t>
  </si>
  <si>
    <t xml:space="preserve">  ▶  DAMPERS &amp; CONTROLS</t>
  </si>
  <si>
    <t xml:space="preserve">   Inspect OSA damper — clean, full range of motion</t>
  </si>
  <si>
    <t xml:space="preserve">   Inspect return air damper — blade seals and linkage</t>
  </si>
  <si>
    <t xml:space="preserve">   Verify thermostat / controller setpoints — document</t>
  </si>
  <si>
    <t xml:space="preserve">   Check BAS / DDC points — calibrate if out of tolerance</t>
  </si>
  <si>
    <t xml:space="preserve">   Test economiser damper sequence (if applicable)</t>
  </si>
  <si>
    <t xml:space="preserve">   Check contactors and relays — pitting, overheating</t>
  </si>
  <si>
    <t xml:space="preserve">   Verify all operating modes — cool, heat, fan, auto</t>
  </si>
  <si>
    <t xml:space="preserve">  ▶  CABINET &amp; GENERAL</t>
  </si>
  <si>
    <t xml:space="preserve">   Inspect unit cabinet — corrosion, loose panels, seal condition</t>
  </si>
  <si>
    <t xml:space="preserve">   Clean unit interior — remove dust, debris, foreign objects</t>
  </si>
  <si>
    <t xml:space="preserve">   Check vibration isolators — springs floating, no hard contact</t>
  </si>
  <si>
    <t xml:space="preserve">   Inspect flexible connections — no tears or splits</t>
  </si>
  <si>
    <t xml:space="preserve">   Check all access panel fasteners secure</t>
  </si>
  <si>
    <t xml:space="preserve">   Confirm asset label / equipment tag is legible</t>
  </si>
  <si>
    <t xml:space="preserve">   Review unit fault / alarm log — document findings</t>
  </si>
  <si>
    <t xml:space="preserve">  📊  Q1 — JANUARY / FEBRUARY / MARCH SUMMARY</t>
  </si>
  <si>
    <t xml:space="preserve">Items Inspected:</t>
  </si>
  <si>
    <t xml:space="preserve">Items Passed:</t>
  </si>
  <si>
    <t xml:space="preserve">Items Failed:</t>
  </si>
  <si>
    <t xml:space="preserve">Deficiencies Raised:</t>
  </si>
  <si>
    <t xml:space="preserve">  ✍️  ENGINEER SIGN-OFF</t>
  </si>
  <si>
    <t xml:space="preserve">Engineer Name:</t>
  </si>
  <si>
    <t xml:space="preserve">Signature &amp; Date:</t>
  </si>
  <si>
    <t xml:space="preserve">Supervisor Sign-Off:</t>
  </si>
  <si>
    <t xml:space="preserve">Customer Acceptance / Signature:</t>
  </si>
  <si>
    <t xml:space="preserve">  🗓️  Q2 — APRIL / MAY / JUNE — QUARTERLY MAINTENANCE CHECKLIST</t>
  </si>
  <si>
    <t xml:space="preserve">  📊  Q2 — APRIL / MAY / JUNE SUMMARY</t>
  </si>
  <si>
    <t xml:space="preserve">  🗓️  Q3 — JULY / AUGUST / SEPTEMBER — QUARTERLY MAINTENANCE CHECKLIST</t>
  </si>
  <si>
    <t xml:space="preserve">  📊  Q3 — JULY / AUGUST / SEPTEMBER SUMMARY</t>
  </si>
  <si>
    <t xml:space="preserve">  🗓️  Q4 — OCTOBER / NOVEMBER / DECEMBER — QUARTERLY MAINTENANCE CHECKLIST</t>
  </si>
  <si>
    <t xml:space="preserve">  📊  Q4 — OCTOBER / NOVEMBER / DECEMBER SUMMARY</t>
  </si>
  <si>
    <t xml:space="preserve">  ❄️  REFRIGERATION &amp; DX SYSTEM — QUARTERLY DATA LOG</t>
  </si>
  <si>
    <t xml:space="preserve">Parameter</t>
  </si>
  <si>
    <t xml:space="preserve">Q1 Reading</t>
  </si>
  <si>
    <t xml:space="preserve">Q2 Reading</t>
  </si>
  <si>
    <t xml:space="preserve">Q3 Reading</t>
  </si>
  <si>
    <t xml:space="preserve">Q4 Reading</t>
  </si>
  <si>
    <t xml:space="preserve">Unit / Spec</t>
  </si>
  <si>
    <t xml:space="preserve">Refrigerant Type</t>
  </si>
  <si>
    <t xml:space="preserve">—  /  —</t>
  </si>
  <si>
    <t xml:space="preserve">Outdoor Ambient Temp (°F)</t>
  </si>
  <si>
    <t xml:space="preserve">°F  /  —</t>
  </si>
  <si>
    <t xml:space="preserve">Suction Pressure</t>
  </si>
  <si>
    <t xml:space="preserve">PSIG  /  Per Mfr</t>
  </si>
  <si>
    <t xml:space="preserve">Discharge Pressure</t>
  </si>
  <si>
    <t xml:space="preserve">Suction Saturation Temp</t>
  </si>
  <si>
    <t xml:space="preserve">°F  /  Per Mfr</t>
  </si>
  <si>
    <t xml:space="preserve">Discharge Saturation Temp</t>
  </si>
  <si>
    <t xml:space="preserve">Suction Line Temperature</t>
  </si>
  <si>
    <t xml:space="preserve">Superheat (Suction)</t>
  </si>
  <si>
    <t xml:space="preserve">°F  /  8–12°F</t>
  </si>
  <si>
    <t xml:space="preserve">Liquid Line Temperature</t>
  </si>
  <si>
    <t xml:space="preserve">Subcooling (Liquid)</t>
  </si>
  <si>
    <t xml:space="preserve">°F  /  10–15°F</t>
  </si>
  <si>
    <t xml:space="preserve">Compressor Discharge Temp</t>
  </si>
  <si>
    <t xml:space="preserve">°F  /  &lt;225°F</t>
  </si>
  <si>
    <t xml:space="preserve">Evaporator EAT — Dry Bulb</t>
  </si>
  <si>
    <t xml:space="preserve">Evaporator LAT — Dry Bulb</t>
  </si>
  <si>
    <t xml:space="preserve">Evaporator EAT — Wet Bulb</t>
  </si>
  <si>
    <t xml:space="preserve">Evaporator LAT — Wet Bulb</t>
  </si>
  <si>
    <t xml:space="preserve">Evaporator Delta-T (DB)</t>
  </si>
  <si>
    <t xml:space="preserve">°F  /  15–20°F</t>
  </si>
  <si>
    <t xml:space="preserve">Compressor Amps — L1</t>
  </si>
  <si>
    <t xml:space="preserve">Amps  /  &lt;FLA</t>
  </si>
  <si>
    <t xml:space="preserve">Compressor Amps — L2</t>
  </si>
  <si>
    <t xml:space="preserve">Compressor Amps — L3</t>
  </si>
  <si>
    <t xml:space="preserve">Condenser Fan Amps</t>
  </si>
  <si>
    <t xml:space="preserve">Supply Fan Amps — L1</t>
  </si>
  <si>
    <t xml:space="preserve">Voltage L1–L2</t>
  </si>
  <si>
    <t xml:space="preserve">Volts  /  ±5%</t>
  </si>
  <si>
    <t xml:space="preserve">Voltage L2–L3</t>
  </si>
  <si>
    <t xml:space="preserve">Voltage Imbalance (%)</t>
  </si>
  <si>
    <t xml:space="preserve">&lt;2%  /  &lt;2%</t>
  </si>
  <si>
    <t xml:space="preserve">  🧪  REFRIGERANT CHARGE LOG</t>
  </si>
  <si>
    <t xml:space="preserve">Quarter</t>
  </si>
  <si>
    <t xml:space="preserve">Date</t>
  </si>
  <si>
    <t xml:space="preserve">Refrigerant Added (lbs)</t>
  </si>
  <si>
    <t xml:space="preserve">Refrigerant Recovered (lbs)</t>
  </si>
  <si>
    <t xml:space="preserve">Net Change</t>
  </si>
  <si>
    <t xml:space="preserve">Reason</t>
  </si>
  <si>
    <t xml:space="preserve">EPA / Cert #</t>
  </si>
  <si>
    <t xml:space="preserve">Q1 (Jan–Mar)</t>
  </si>
  <si>
    <t xml:space="preserve">Q2 (Apr–Jun)</t>
  </si>
  <si>
    <t xml:space="preserve">Q3 (Jul–Sep)</t>
  </si>
  <si>
    <t xml:space="preserve">Q4 (Oct–Dec)</t>
  </si>
  <si>
    <t xml:space="preserve">  ⚡  ELECTRICAL &amp; MOTOR DATA — QUARTERLY LOG</t>
  </si>
  <si>
    <t xml:space="preserve">Supply Voltage L1–L2</t>
  </si>
  <si>
    <t xml:space="preserve">Supply Voltage L2–L3</t>
  </si>
  <si>
    <t xml:space="preserve">Supply Voltage L1–L3</t>
  </si>
  <si>
    <t xml:space="preserve">Supply Fan Motor FLA (Nameplate)</t>
  </si>
  <si>
    <t xml:space="preserve">Amps  /  —</t>
  </si>
  <si>
    <t xml:space="preserve">Supply Fan Amps — L2</t>
  </si>
  <si>
    <t xml:space="preserve">Supply Fan Amps — L3</t>
  </si>
  <si>
    <t xml:space="preserve">Condenser Fan FLA (Nameplate)</t>
  </si>
  <si>
    <t xml:space="preserve">Compressor FLA (Nameplate)</t>
  </si>
  <si>
    <t xml:space="preserve">Control Circuit Voltage</t>
  </si>
  <si>
    <t xml:space="preserve">Volts  /  ±10%</t>
  </si>
  <si>
    <t xml:space="preserve">Fan RPM (Design vs Measured)</t>
  </si>
  <si>
    <t xml:space="preserve">RPM  /  ±5%</t>
  </si>
  <si>
    <t xml:space="preserve">Filter DP — As Found</t>
  </si>
  <si>
    <t xml:space="preserve">in. wg  /  —</t>
  </si>
  <si>
    <t xml:space="preserve">Filter DP — As Left</t>
  </si>
  <si>
    <t xml:space="preserve">  🎛️  CONTROLS &amp; SETPOINT VERIFICATION — QUARTERLY</t>
  </si>
  <si>
    <t xml:space="preserve">Control Parameter</t>
  </si>
  <si>
    <t xml:space="preserve">Q1 As-Found</t>
  </si>
  <si>
    <t xml:space="preserve">Q1 As-Left</t>
  </si>
  <si>
    <t xml:space="preserve">Q2 As-Found</t>
  </si>
  <si>
    <t xml:space="preserve">Q2 As-Left</t>
  </si>
  <si>
    <t xml:space="preserve">Q3 As-Found</t>
  </si>
  <si>
    <t xml:space="preserve">Q3 As-Left</t>
  </si>
  <si>
    <t xml:space="preserve">Q4 As-Found</t>
  </si>
  <si>
    <t xml:space="preserve">Q4 As-Left</t>
  </si>
  <si>
    <t xml:space="preserve">Design Setpoint</t>
  </si>
  <si>
    <t xml:space="preserve">Cooling Setpoint (°F)</t>
  </si>
  <si>
    <t xml:space="preserve">Heating Setpoint (°F)</t>
  </si>
  <si>
    <t xml:space="preserve">Deadband / Differential (°F)</t>
  </si>
  <si>
    <t xml:space="preserve">Supply Air Setpoint (°F)</t>
  </si>
  <si>
    <t xml:space="preserve">OSA Minimum Position (%)</t>
  </si>
  <si>
    <t xml:space="preserve">High Pressure Cutout (PSIG)</t>
  </si>
  <si>
    <t xml:space="preserve">Low Pressure Cutout (PSIG)</t>
  </si>
  <si>
    <t xml:space="preserve">Freeze Stat Setpoint (°F)</t>
  </si>
  <si>
    <t xml:space="preserve">Fan Proven Switch — Test Result</t>
  </si>
  <si>
    <t xml:space="preserve">  💨  AIR BALANCE &amp; AIRFLOW — QUARTERLY MEASUREMENT LOG</t>
  </si>
  <si>
    <t xml:space="preserve">Terminal / Duct ID</t>
  </si>
  <si>
    <t xml:space="preserve">Location / Zone</t>
  </si>
  <si>
    <t xml:space="preserve">Design CFM</t>
  </si>
  <si>
    <t xml:space="preserve">Q1 Measured</t>
  </si>
  <si>
    <t xml:space="preserve">Q2 Measured</t>
  </si>
  <si>
    <t xml:space="preserve">Q3 Measured</t>
  </si>
  <si>
    <t xml:space="preserve">Q4 Measured</t>
  </si>
  <si>
    <t xml:space="preserve">Q1 % Design</t>
  </si>
  <si>
    <t xml:space="preserve">Q2 % Design</t>
  </si>
  <si>
    <t xml:space="preserve">Q3 % Design</t>
  </si>
  <si>
    <t xml:space="preserve">Q4 % Design</t>
  </si>
  <si>
    <t xml:space="preserve">Notes</t>
  </si>
  <si>
    <t xml:space="preserve">SYSTEM TOTALS</t>
  </si>
  <si>
    <t xml:space="preserve">  🔩  PARTS, MATERIALS &amp; CONSUMABLES LOG</t>
  </si>
  <si>
    <t xml:space="preserve">#</t>
  </si>
  <si>
    <t xml:space="preserve">Qtr</t>
  </si>
  <si>
    <t xml:space="preserve">Part / Material Name</t>
  </si>
  <si>
    <t xml:space="preserve">Part Number / Description</t>
  </si>
  <si>
    <t xml:space="preserve">Manufacturer</t>
  </si>
  <si>
    <t xml:space="preserve">Qty</t>
  </si>
  <si>
    <t xml:space="preserve">Unit</t>
  </si>
  <si>
    <t xml:space="preserve">Unit Cost ($)</t>
  </si>
  <si>
    <t xml:space="preserve">Total ($)</t>
  </si>
  <si>
    <t xml:space="preserve">Warranty?</t>
  </si>
  <si>
    <t xml:space="preserve">TOTALS</t>
  </si>
  <si>
    <t xml:space="preserve">  💰  QUARTERLY COST SUMMARY</t>
  </si>
  <si>
    <t xml:space="preserve">Cost Category</t>
  </si>
  <si>
    <t xml:space="preserve">Q1</t>
  </si>
  <si>
    <t xml:space="preserve">Q2</t>
  </si>
  <si>
    <t xml:space="preserve">Q3</t>
  </si>
  <si>
    <t xml:space="preserve">Q4</t>
  </si>
  <si>
    <t xml:space="preserve">Annual Total</t>
  </si>
  <si>
    <t xml:space="preserve">Parts &amp; Materials ($)</t>
  </si>
  <si>
    <t xml:space="preserve">Labour Hours</t>
  </si>
  <si>
    <t xml:space="preserve">Labour Cost ($)</t>
  </si>
  <si>
    <t xml:space="preserve">Call-Out Charges ($)</t>
  </si>
  <si>
    <t xml:space="preserve">Total Visit Cost ($)</t>
  </si>
  <si>
    <t xml:space="preserve">Budget ($)</t>
  </si>
  <si>
    <t xml:space="preserve">Variance vs Budget ($)</t>
  </si>
  <si>
    <t xml:space="preserve">  ⚠️  DEFICIENCY &amp; REMEDIAL WORKS LOG</t>
  </si>
  <si>
    <t xml:space="preserve">Date Found</t>
  </si>
  <si>
    <t xml:space="preserve">Asset ID</t>
  </si>
  <si>
    <t xml:space="preserve">Deficiency Description</t>
  </si>
  <si>
    <t xml:space="preserve">Remedial Action Required</t>
  </si>
  <si>
    <t xml:space="preserve">Assigned To</t>
  </si>
  <si>
    <t xml:space="preserve">Due Date</t>
  </si>
  <si>
    <t xml:space="preserve">Date Closed</t>
  </si>
  <si>
    <t xml:space="preserve">Priority</t>
  </si>
  <si>
    <t xml:space="preserve">Status</t>
  </si>
  <si>
    <t xml:space="preserve">  📊  DEFICIENCY SUMMARY</t>
  </si>
  <si>
    <t xml:space="preserve">Total Deficiencies Raised:</t>
  </si>
  <si>
    <t xml:space="preserve">Q1 Deficiencies:</t>
  </si>
  <si>
    <t xml:space="preserve">Q2 Deficiencies:</t>
  </si>
  <si>
    <t xml:space="preserve">Q3 Deficiencies:</t>
  </si>
  <si>
    <t xml:space="preserve">Q4 Deficiencies:</t>
  </si>
  <si>
    <t xml:space="preserve">Open / Unresolved:</t>
  </si>
  <si>
    <t xml:space="preserve">Closed / Resolved:</t>
  </si>
  <si>
    <t xml:space="preserve">Critical Priority:</t>
  </si>
  <si>
    <t xml:space="preserve">Overdue Items:</t>
  </si>
  <si>
    <t xml:space="preserve">  📈  ANNUAL KPI &amp; PERFORMANCE SUMMARY — FOUR-QUARTER OVERVIEW</t>
  </si>
  <si>
    <t xml:space="preserve">  Contract / Site:                          Year:                     Prepared By:</t>
  </si>
  <si>
    <t xml:space="preserve">  📊  QUARTERLY VISIT COMPLIANCE</t>
  </si>
  <si>
    <t xml:space="preserve">Metric</t>
  </si>
  <si>
    <t xml:space="preserve">Target</t>
  </si>
  <si>
    <t xml:space="preserve">Visits Scheduled</t>
  </si>
  <si>
    <t xml:space="preserve">4</t>
  </si>
  <si>
    <t xml:space="preserve">Visits Completed</t>
  </si>
  <si>
    <t xml:space="preserve">Visits Missed</t>
  </si>
  <si>
    <t xml:space="preserve">0</t>
  </si>
  <si>
    <t xml:space="preserve">Completion Rate (%)</t>
  </si>
  <si>
    <t xml:space="preserve">≥98%</t>
  </si>
  <si>
    <t xml:space="preserve">Tasks Completed</t>
  </si>
  <si>
    <t xml:space="preserve">Per matrix</t>
  </si>
  <si>
    <t xml:space="preserve">Tasks Failed / Defects</t>
  </si>
  <si>
    <t xml:space="preserve">Deficiencies Raised</t>
  </si>
  <si>
    <t xml:space="preserve">Deficiencies Closed</t>
  </si>
  <si>
    <t xml:space="preserve">All</t>
  </si>
  <si>
    <t xml:space="preserve">  📊  KPI TRACKER — QUARTERLY</t>
  </si>
  <si>
    <t xml:space="preserve">KPI Metric</t>
  </si>
  <si>
    <t xml:space="preserve">Q1 Actual</t>
  </si>
  <si>
    <t xml:space="preserve">Q2 Actual</t>
  </si>
  <si>
    <t xml:space="preserve">Q3 Actual</t>
  </si>
  <si>
    <t xml:space="preserve">Q4 Actual</t>
  </si>
  <si>
    <t xml:space="preserve">PPM Completion Rate (%)</t>
  </si>
  <si>
    <t xml:space="preserve">First-Time Fix Rate (%)</t>
  </si>
  <si>
    <t xml:space="preserve">≥85%</t>
  </si>
  <si>
    <t xml:space="preserve">Mean Time to Respond (hrs)</t>
  </si>
  <si>
    <t xml:space="preserve">≤4 hrs</t>
  </si>
  <si>
    <t xml:space="preserve">Mean Time to Repair (hrs)</t>
  </si>
  <si>
    <t xml:space="preserve">≤8 hrs</t>
  </si>
  <si>
    <t xml:space="preserve">System Uptime / Availability (%)</t>
  </si>
  <si>
    <t xml:space="preserve">≥99%</t>
  </si>
  <si>
    <t xml:space="preserve">Open Critical Defects (count)</t>
  </si>
  <si>
    <t xml:space="preserve">Refrigerant Leak Events</t>
  </si>
  <si>
    <t xml:space="preserve">Customer Satisfaction Score</t>
  </si>
  <si>
    <t xml:space="preserve">≥4.0/5</t>
  </si>
  <si>
    <t xml:space="preserve">Parts Cost vs Budget (%)</t>
  </si>
  <si>
    <t xml:space="preserve">≤100%</t>
  </si>
  <si>
    <t xml:space="preserve">Reactive Call-Outs (count)</t>
  </si>
  <si>
    <t xml:space="preserve">≤2/qtr</t>
  </si>
  <si>
    <t xml:space="preserve">  💰  ANNUAL COST SUMMARY</t>
  </si>
  <si>
    <t xml:space="preserve">Budget</t>
  </si>
  <si>
    <t xml:space="preserve">Variance</t>
  </si>
  <si>
    <t xml:space="preserve">Parts &amp; Consumables ($)</t>
  </si>
  <si>
    <t xml:space="preserve">Reactive / Call-Out ($)</t>
  </si>
  <si>
    <t xml:space="preserve">Total Cost ($)</t>
  </si>
  <si>
    <t xml:space="preserve">HVAC QUARTERLY MAINTENANCE — ANNUAL SERVICE REPORT</t>
  </si>
  <si>
    <t xml:space="preserve">Covering all four scheduled quarterly visits for the service year</t>
  </si>
  <si>
    <t xml:space="preserve">  📊  FOUR-QUARTER COMPLETION SUMMARY</t>
  </si>
  <si>
    <t xml:space="preserve">Visit Date</t>
  </si>
  <si>
    <t xml:space="preserve">Items Checked</t>
  </si>
  <si>
    <t xml:space="preserve">Defects Raised</t>
  </si>
  <si>
    <t xml:space="preserve">Defects Closed</t>
  </si>
  <si>
    <t xml:space="preserve">Parts Cost ($)</t>
  </si>
  <si>
    <t xml:space="preserve">ANNUAL TOTALS</t>
  </si>
  <si>
    <t xml:space="preserve">  📝  ANNUAL FINDINGS &amp; RECOMMENDATIONS</t>
  </si>
  <si>
    <t xml:space="preserve">  ⚠️  OUTSTANDING ITEMS &amp; FOLLOW-UP ACTIONS</t>
  </si>
  <si>
    <t xml:space="preserve">  📋  EQUIPMENT CONDITION ASSESSMENT</t>
  </si>
  <si>
    <t xml:space="preserve">System / Equipment</t>
  </si>
  <si>
    <t xml:space="preserve">Condition Rating</t>
  </si>
  <si>
    <t xml:space="preserve">Age (yrs)</t>
  </si>
  <si>
    <t xml:space="preserve">Remaining Life (est.)</t>
  </si>
  <si>
    <t xml:space="preserve">Recommended Action</t>
  </si>
  <si>
    <t xml:space="preserve">  ✍️  ANNUAL SIGN-OFF &amp; CLIENT ACCEPTANCE</t>
  </si>
  <si>
    <t xml:space="preserve">Service Provider — Lead Technician:</t>
  </si>
  <si>
    <t xml:space="preserve">Print Name:</t>
  </si>
  <si>
    <t xml:space="preserve">Date:</t>
  </si>
  <si>
    <t xml:space="preserve">Service Provider — Contract Manager:</t>
  </si>
  <si>
    <t xml:space="preserve">Cert / Reg #:</t>
  </si>
  <si>
    <t xml:space="preserve">Company:</t>
  </si>
  <si>
    <t xml:space="preserve">Phone:</t>
  </si>
  <si>
    <t xml:space="preserve">Client — Building Owner / FM Manager:</t>
  </si>
  <si>
    <t xml:space="preserve">Client — Authorised Representative:</t>
  </si>
  <si>
    <t xml:space="preserve">Title / Role:</t>
  </si>
  <si>
    <t xml:space="preserve">Comments:</t>
  </si>
  <si>
    <t xml:space="preserve">Date Accepted: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</si>
</sst>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1B3A6B"/>
      <name val="Arial"/>
      <family val="0"/>
      <charset val="1"/>
    </font>
    <font>
      <sz val="10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"/>
      <color rgb="FF1B3A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5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FF2CC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12" min="4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4.5" hidden="false" customHeight="true" outlineLevel="0" collapsed="false"/>
    <row r="6" customFormat="false" ht="21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" hidden="false" customHeight="true" outlineLevel="0" collapsed="false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4.5" hidden="false" customHeight="true" outlineLevel="0" collapsed="false"/>
    <row r="9" customFormat="false" ht="21.7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15" hidden="false" customHeight="true" outlineLevel="0" collapsed="false">
      <c r="A10" s="7" t="s">
        <v>7</v>
      </c>
      <c r="B10" s="7"/>
      <c r="C10" s="7"/>
      <c r="D10" s="7"/>
      <c r="E10" s="7"/>
      <c r="F10" s="8"/>
      <c r="G10" s="7" t="s">
        <v>8</v>
      </c>
      <c r="H10" s="7"/>
      <c r="I10" s="7"/>
      <c r="J10" s="7"/>
      <c r="K10" s="7"/>
      <c r="L10" s="8"/>
    </row>
    <row r="11" customFormat="false" ht="15" hidden="false" customHeight="true" outlineLevel="0" collapsed="false">
      <c r="A11" s="7" t="s">
        <v>9</v>
      </c>
      <c r="B11" s="7"/>
      <c r="C11" s="7"/>
      <c r="D11" s="7"/>
      <c r="E11" s="7"/>
      <c r="F11" s="8"/>
      <c r="G11" s="7" t="s">
        <v>10</v>
      </c>
      <c r="H11" s="7"/>
      <c r="I11" s="7"/>
      <c r="J11" s="7"/>
      <c r="K11" s="7"/>
      <c r="L11" s="8"/>
    </row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8"/>
      <c r="G12" s="7" t="s">
        <v>12</v>
      </c>
      <c r="H12" s="7"/>
      <c r="I12" s="7"/>
      <c r="J12" s="7"/>
      <c r="K12" s="7"/>
      <c r="L12" s="8"/>
    </row>
    <row r="13" customFormat="false" ht="15" hidden="false" customHeight="true" outlineLevel="0" collapsed="false">
      <c r="A13" s="7" t="s">
        <v>13</v>
      </c>
      <c r="B13" s="7"/>
      <c r="C13" s="7"/>
      <c r="D13" s="7"/>
      <c r="E13" s="7"/>
      <c r="F13" s="8"/>
      <c r="G13" s="7" t="s">
        <v>14</v>
      </c>
      <c r="H13" s="7"/>
      <c r="I13" s="7"/>
      <c r="J13" s="7"/>
      <c r="K13" s="7"/>
      <c r="L13" s="8"/>
    </row>
    <row r="14" customFormat="false" ht="15" hidden="false" customHeight="true" outlineLevel="0" collapsed="false">
      <c r="A14" s="7" t="s">
        <v>15</v>
      </c>
      <c r="B14" s="7"/>
      <c r="C14" s="7"/>
      <c r="D14" s="7"/>
      <c r="E14" s="7"/>
      <c r="F14" s="8"/>
      <c r="G14" s="7" t="s">
        <v>16</v>
      </c>
      <c r="H14" s="7"/>
      <c r="I14" s="7"/>
      <c r="J14" s="7"/>
      <c r="K14" s="7"/>
      <c r="L14" s="8"/>
    </row>
    <row r="15" customFormat="false" ht="15" hidden="false" customHeight="true" outlineLevel="0" collapsed="false">
      <c r="A15" s="7" t="s">
        <v>17</v>
      </c>
      <c r="B15" s="7"/>
      <c r="C15" s="7"/>
      <c r="D15" s="7"/>
      <c r="E15" s="7"/>
      <c r="F15" s="8"/>
      <c r="G15" s="7" t="s">
        <v>18</v>
      </c>
      <c r="H15" s="7"/>
      <c r="I15" s="7"/>
      <c r="J15" s="7"/>
      <c r="K15" s="7"/>
      <c r="L15" s="8"/>
    </row>
    <row r="16" customFormat="false" ht="4.5" hidden="false" customHeight="true" outlineLevel="0" collapsed="false"/>
    <row r="17" customFormat="false" ht="21.75" hidden="false" customHeight="true" outlineLevel="0" collapsed="false">
      <c r="A17" s="5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7" t="s">
        <v>20</v>
      </c>
      <c r="B18" s="7"/>
      <c r="C18" s="7"/>
      <c r="D18" s="7"/>
      <c r="E18" s="7"/>
      <c r="F18" s="8"/>
      <c r="G18" s="7" t="s">
        <v>21</v>
      </c>
      <c r="H18" s="7"/>
      <c r="I18" s="7"/>
      <c r="J18" s="7"/>
      <c r="K18" s="7"/>
      <c r="L18" s="8"/>
    </row>
    <row r="19" customFormat="false" ht="15" hidden="false" customHeight="true" outlineLevel="0" collapsed="false">
      <c r="A19" s="7" t="s">
        <v>22</v>
      </c>
      <c r="B19" s="7"/>
      <c r="C19" s="7"/>
      <c r="D19" s="7"/>
      <c r="E19" s="7"/>
      <c r="F19" s="8"/>
      <c r="G19" s="7" t="s">
        <v>23</v>
      </c>
      <c r="H19" s="7"/>
      <c r="I19" s="7"/>
      <c r="J19" s="7"/>
      <c r="K19" s="7"/>
      <c r="L19" s="8"/>
    </row>
    <row r="20" customFormat="false" ht="15" hidden="false" customHeight="true" outlineLevel="0" collapsed="false">
      <c r="A20" s="7" t="s">
        <v>24</v>
      </c>
      <c r="B20" s="7"/>
      <c r="C20" s="7"/>
      <c r="D20" s="7"/>
      <c r="E20" s="7"/>
      <c r="F20" s="8"/>
      <c r="G20" s="7" t="s">
        <v>25</v>
      </c>
      <c r="H20" s="7"/>
      <c r="I20" s="7"/>
      <c r="J20" s="7"/>
      <c r="K20" s="7"/>
      <c r="L20" s="8"/>
    </row>
    <row r="21" customFormat="false" ht="15" hidden="false" customHeight="true" outlineLevel="0" collapsed="false">
      <c r="A21" s="7" t="s">
        <v>26</v>
      </c>
      <c r="B21" s="7"/>
      <c r="C21" s="7"/>
      <c r="D21" s="7"/>
      <c r="E21" s="7"/>
      <c r="F21" s="8"/>
      <c r="G21" s="7" t="s">
        <v>27</v>
      </c>
      <c r="H21" s="7"/>
      <c r="I21" s="7"/>
      <c r="J21" s="7"/>
      <c r="K21" s="7"/>
      <c r="L21" s="8"/>
    </row>
    <row r="22" customFormat="false" ht="15" hidden="false" customHeight="true" outlineLevel="0" collapsed="false">
      <c r="A22" s="7" t="s">
        <v>28</v>
      </c>
      <c r="B22" s="7"/>
      <c r="C22" s="7"/>
      <c r="D22" s="7"/>
      <c r="E22" s="7"/>
      <c r="F22" s="8"/>
      <c r="G22" s="7" t="s">
        <v>29</v>
      </c>
      <c r="H22" s="7"/>
      <c r="I22" s="7"/>
      <c r="J22" s="7"/>
      <c r="K22" s="7"/>
      <c r="L22" s="8"/>
    </row>
    <row r="23" customFormat="false" ht="15" hidden="false" customHeight="true" outlineLevel="0" collapsed="false">
      <c r="A23" s="7" t="s">
        <v>30</v>
      </c>
      <c r="B23" s="7"/>
      <c r="C23" s="7"/>
      <c r="D23" s="7"/>
      <c r="E23" s="7"/>
      <c r="F23" s="8"/>
      <c r="G23" s="7" t="s">
        <v>31</v>
      </c>
      <c r="H23" s="7"/>
      <c r="I23" s="7"/>
      <c r="J23" s="7"/>
      <c r="K23" s="7"/>
      <c r="L23" s="8"/>
    </row>
    <row r="24" customFormat="false" ht="15" hidden="false" customHeight="true" outlineLevel="0" collapsed="false">
      <c r="A24" s="7" t="s">
        <v>32</v>
      </c>
      <c r="B24" s="7"/>
      <c r="C24" s="7"/>
      <c r="D24" s="7"/>
      <c r="E24" s="7"/>
      <c r="F24" s="8"/>
      <c r="G24" s="7" t="s">
        <v>33</v>
      </c>
      <c r="H24" s="7"/>
      <c r="I24" s="7"/>
      <c r="J24" s="7"/>
      <c r="K24" s="7"/>
      <c r="L24" s="8"/>
    </row>
    <row r="25" customFormat="false" ht="15" hidden="false" customHeight="true" outlineLevel="0" collapsed="false">
      <c r="A25" s="7" t="s">
        <v>34</v>
      </c>
      <c r="B25" s="7"/>
      <c r="C25" s="7"/>
      <c r="D25" s="7"/>
      <c r="E25" s="7"/>
      <c r="F25" s="8"/>
      <c r="G25" s="7" t="s">
        <v>35</v>
      </c>
      <c r="H25" s="7"/>
      <c r="I25" s="7"/>
      <c r="J25" s="7"/>
      <c r="K25" s="7"/>
      <c r="L25" s="8"/>
    </row>
    <row r="26" customFormat="false" ht="4.5" hidden="false" customHeight="true" outlineLevel="0" collapsed="false"/>
    <row r="27" customFormat="false" ht="21.75" hidden="false" customHeight="true" outlineLevel="0" collapsed="false">
      <c r="A27" s="5" t="s">
        <v>36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15" hidden="false" customHeight="true" outlineLevel="0" collapsed="false">
      <c r="A28" s="7" t="s">
        <v>37</v>
      </c>
      <c r="B28" s="7"/>
      <c r="C28" s="7"/>
      <c r="D28" s="7"/>
      <c r="E28" s="7"/>
      <c r="F28" s="8"/>
      <c r="G28" s="7" t="s">
        <v>38</v>
      </c>
      <c r="H28" s="7"/>
      <c r="I28" s="7"/>
      <c r="J28" s="7"/>
      <c r="K28" s="7"/>
      <c r="L28" s="8"/>
    </row>
    <row r="29" customFormat="false" ht="15" hidden="false" customHeight="true" outlineLevel="0" collapsed="false">
      <c r="A29" s="7" t="s">
        <v>39</v>
      </c>
      <c r="B29" s="7"/>
      <c r="C29" s="7"/>
      <c r="D29" s="7"/>
      <c r="E29" s="7"/>
      <c r="F29" s="8"/>
      <c r="G29" s="7" t="s">
        <v>40</v>
      </c>
      <c r="H29" s="7"/>
      <c r="I29" s="7"/>
      <c r="J29" s="7"/>
      <c r="K29" s="7"/>
      <c r="L29" s="8"/>
    </row>
    <row r="30" customFormat="false" ht="15" hidden="false" customHeight="true" outlineLevel="0" collapsed="false">
      <c r="A30" s="7" t="s">
        <v>41</v>
      </c>
      <c r="B30" s="7"/>
      <c r="C30" s="7"/>
      <c r="D30" s="7"/>
      <c r="E30" s="7"/>
      <c r="F30" s="8"/>
      <c r="G30" s="7" t="s">
        <v>42</v>
      </c>
      <c r="H30" s="7"/>
      <c r="I30" s="7"/>
      <c r="J30" s="7"/>
      <c r="K30" s="7"/>
      <c r="L30" s="8"/>
    </row>
    <row r="31" customFormat="false" ht="15" hidden="false" customHeight="true" outlineLevel="0" collapsed="false">
      <c r="A31" s="7" t="s">
        <v>43</v>
      </c>
      <c r="B31" s="7"/>
      <c r="C31" s="7"/>
      <c r="D31" s="7"/>
      <c r="E31" s="7"/>
      <c r="F31" s="8"/>
      <c r="G31" s="7" t="s">
        <v>44</v>
      </c>
      <c r="H31" s="7"/>
      <c r="I31" s="7"/>
      <c r="J31" s="7"/>
      <c r="K31" s="7"/>
      <c r="L31" s="8"/>
    </row>
    <row r="32" customFormat="false" ht="15" hidden="false" customHeight="true" outlineLevel="0" collapsed="false">
      <c r="A32" s="7" t="s">
        <v>45</v>
      </c>
      <c r="B32" s="7"/>
      <c r="C32" s="7"/>
      <c r="D32" s="7"/>
      <c r="E32" s="7"/>
      <c r="F32" s="8"/>
      <c r="G32" s="7" t="s">
        <v>46</v>
      </c>
      <c r="H32" s="7"/>
      <c r="I32" s="7"/>
      <c r="J32" s="7"/>
      <c r="K32" s="7"/>
      <c r="L32" s="8"/>
    </row>
    <row r="33" customFormat="false" ht="4.5" hidden="false" customHeight="true" outlineLevel="0" collapsed="false"/>
    <row r="34" customFormat="false" ht="21.75" hidden="false" customHeight="true" outlineLevel="0" collapsed="false">
      <c r="A34" s="5" t="s">
        <v>47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19.5" hidden="false" customHeight="true" outlineLevel="0" collapsed="false">
      <c r="A35" s="7" t="s">
        <v>11</v>
      </c>
      <c r="B35" s="7"/>
      <c r="C35" s="7"/>
      <c r="D35" s="7"/>
      <c r="E35" s="7"/>
      <c r="G35" s="7" t="s">
        <v>48</v>
      </c>
      <c r="H35" s="7"/>
      <c r="I35" s="7"/>
      <c r="J35" s="7"/>
      <c r="K35" s="7"/>
    </row>
    <row r="36" customFormat="false" ht="19.5" hidden="false" customHeight="true" outlineLevel="0" collapsed="false">
      <c r="A36" s="7" t="s">
        <v>49</v>
      </c>
      <c r="B36" s="7"/>
      <c r="C36" s="7"/>
      <c r="D36" s="7"/>
      <c r="E36" s="7"/>
      <c r="G36" s="7" t="s">
        <v>50</v>
      </c>
      <c r="H36" s="7"/>
      <c r="I36" s="7"/>
      <c r="J36" s="7"/>
      <c r="K36" s="7"/>
    </row>
    <row r="37" customFormat="false" ht="19.5" hidden="false" customHeight="true" outlineLevel="0" collapsed="false">
      <c r="A37" s="7" t="s">
        <v>51</v>
      </c>
      <c r="B37" s="7"/>
      <c r="C37" s="7"/>
      <c r="D37" s="7"/>
      <c r="E37" s="7"/>
      <c r="G37" s="7" t="s">
        <v>52</v>
      </c>
      <c r="H37" s="7"/>
      <c r="I37" s="7"/>
      <c r="J37" s="7"/>
      <c r="K37" s="7"/>
    </row>
    <row r="38" customFormat="false" ht="4.5" hidden="false" customHeight="true" outlineLevel="0" collapsed="false"/>
    <row r="39" customFormat="false" ht="18" hidden="false" customHeight="true" outlineLevel="0" collapsed="false">
      <c r="A39" s="9" t="s">
        <v>53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</sheetData>
  <mergeCells count="55">
    <mergeCell ref="A1:F1"/>
    <mergeCell ref="G1:L1"/>
    <mergeCell ref="A3:L3"/>
    <mergeCell ref="A4:L4"/>
    <mergeCell ref="A6:L6"/>
    <mergeCell ref="A7:L7"/>
    <mergeCell ref="A9:L9"/>
    <mergeCell ref="A10:E10"/>
    <mergeCell ref="G10:K10"/>
    <mergeCell ref="A11:E11"/>
    <mergeCell ref="G11:K11"/>
    <mergeCell ref="A12:E12"/>
    <mergeCell ref="G12:K12"/>
    <mergeCell ref="A13:E13"/>
    <mergeCell ref="G13:K13"/>
    <mergeCell ref="A14:E14"/>
    <mergeCell ref="G14:K14"/>
    <mergeCell ref="A15:E15"/>
    <mergeCell ref="G15:K15"/>
    <mergeCell ref="A17:L17"/>
    <mergeCell ref="A18:E18"/>
    <mergeCell ref="G18:K18"/>
    <mergeCell ref="A19:E19"/>
    <mergeCell ref="G19:K19"/>
    <mergeCell ref="A20:E20"/>
    <mergeCell ref="G20:K20"/>
    <mergeCell ref="A21:E21"/>
    <mergeCell ref="G21:K21"/>
    <mergeCell ref="A22:E22"/>
    <mergeCell ref="G22:K22"/>
    <mergeCell ref="A23:E23"/>
    <mergeCell ref="G23:K23"/>
    <mergeCell ref="A24:E24"/>
    <mergeCell ref="G24:K24"/>
    <mergeCell ref="A25:E25"/>
    <mergeCell ref="G25:K25"/>
    <mergeCell ref="A27:L27"/>
    <mergeCell ref="A28:E28"/>
    <mergeCell ref="G28:K28"/>
    <mergeCell ref="A29:E29"/>
    <mergeCell ref="G29:K29"/>
    <mergeCell ref="A30:E30"/>
    <mergeCell ref="G30:K30"/>
    <mergeCell ref="A31:E31"/>
    <mergeCell ref="G31:K31"/>
    <mergeCell ref="A32:E32"/>
    <mergeCell ref="G32:K32"/>
    <mergeCell ref="A34:L34"/>
    <mergeCell ref="A35:E35"/>
    <mergeCell ref="G35:K35"/>
    <mergeCell ref="A36:E36"/>
    <mergeCell ref="G36:K36"/>
    <mergeCell ref="A37:E37"/>
    <mergeCell ref="G37:K37"/>
    <mergeCell ref="A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9"/>
    <col collapsed="false" customWidth="true" hidden="false" outlineLevel="0" max="7" min="6" style="0" width="12"/>
    <col collapsed="false" customWidth="true" hidden="false" outlineLevel="0" max="14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5" t="s">
        <v>54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3.5" hidden="false" customHeight="true" outlineLevel="0" collapsed="false">
      <c r="A3" s="10" t="s">
        <v>55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customFormat="false" ht="18" hidden="false" customHeight="true" outlineLevel="0" collapsed="false">
      <c r="A4" s="11" t="s">
        <v>56</v>
      </c>
      <c r="B4" s="11" t="s">
        <v>57</v>
      </c>
      <c r="C4" s="11" t="s">
        <v>58</v>
      </c>
      <c r="D4" s="11" t="s">
        <v>59</v>
      </c>
      <c r="E4" s="11" t="s">
        <v>60</v>
      </c>
      <c r="F4" s="11" t="s">
        <v>61</v>
      </c>
      <c r="G4" s="11" t="s">
        <v>62</v>
      </c>
      <c r="H4" s="11" t="s">
        <v>63</v>
      </c>
      <c r="I4" s="11" t="s">
        <v>64</v>
      </c>
      <c r="J4" s="11" t="s">
        <v>65</v>
      </c>
      <c r="K4" s="11" t="s">
        <v>66</v>
      </c>
      <c r="L4" s="11" t="s">
        <v>67</v>
      </c>
      <c r="M4" s="11" t="s">
        <v>68</v>
      </c>
      <c r="N4" s="11" t="s">
        <v>69</v>
      </c>
    </row>
    <row r="5" customFormat="false" ht="16.5" hidden="false" customHeight="true" outlineLevel="0" collapsed="false">
      <c r="A5" s="12" t="s">
        <v>70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customFormat="false" ht="15" hidden="false" customHeight="true" outlineLevel="0" collapsed="false">
      <c r="A6" s="13" t="s">
        <v>71</v>
      </c>
      <c r="B6" s="14" t="s">
        <v>72</v>
      </c>
      <c r="C6" s="14" t="s">
        <v>72</v>
      </c>
      <c r="D6" s="14" t="s">
        <v>72</v>
      </c>
      <c r="E6" s="14" t="s">
        <v>72</v>
      </c>
      <c r="F6" s="15" t="s">
        <v>73</v>
      </c>
      <c r="G6" s="13" t="s">
        <v>74</v>
      </c>
      <c r="H6" s="16"/>
      <c r="I6" s="16"/>
      <c r="J6" s="16"/>
      <c r="K6" s="16"/>
      <c r="L6" s="16"/>
      <c r="M6" s="16"/>
      <c r="N6" s="16"/>
    </row>
    <row r="7" customFormat="false" ht="15" hidden="false" customHeight="true" outlineLevel="0" collapsed="false">
      <c r="A7" s="17" t="s">
        <v>75</v>
      </c>
      <c r="B7" s="14" t="s">
        <v>72</v>
      </c>
      <c r="C7" s="14" t="s">
        <v>72</v>
      </c>
      <c r="D7" s="14" t="s">
        <v>72</v>
      </c>
      <c r="E7" s="14" t="s">
        <v>72</v>
      </c>
      <c r="F7" s="18" t="s">
        <v>73</v>
      </c>
      <c r="G7" s="17" t="s">
        <v>74</v>
      </c>
      <c r="H7" s="16"/>
      <c r="I7" s="16"/>
      <c r="J7" s="16"/>
      <c r="K7" s="16"/>
      <c r="L7" s="16"/>
      <c r="M7" s="16"/>
      <c r="N7" s="16"/>
    </row>
    <row r="8" customFormat="false" ht="15" hidden="false" customHeight="true" outlineLevel="0" collapsed="false">
      <c r="A8" s="13" t="s">
        <v>76</v>
      </c>
      <c r="B8" s="14" t="s">
        <v>72</v>
      </c>
      <c r="C8" s="14" t="s">
        <v>72</v>
      </c>
      <c r="D8" s="14" t="s">
        <v>72</v>
      </c>
      <c r="E8" s="14" t="s">
        <v>72</v>
      </c>
      <c r="F8" s="15" t="s">
        <v>73</v>
      </c>
      <c r="G8" s="13" t="s">
        <v>74</v>
      </c>
      <c r="H8" s="16"/>
      <c r="I8" s="16"/>
      <c r="J8" s="16"/>
      <c r="K8" s="16"/>
      <c r="L8" s="16"/>
      <c r="M8" s="16"/>
      <c r="N8" s="16"/>
    </row>
    <row r="9" customFormat="false" ht="15" hidden="false" customHeight="true" outlineLevel="0" collapsed="false">
      <c r="A9" s="17" t="s">
        <v>77</v>
      </c>
      <c r="B9" s="14" t="s">
        <v>72</v>
      </c>
      <c r="C9" s="14" t="s">
        <v>72</v>
      </c>
      <c r="D9" s="14" t="s">
        <v>72</v>
      </c>
      <c r="E9" s="14" t="s">
        <v>72</v>
      </c>
      <c r="F9" s="18" t="s">
        <v>73</v>
      </c>
      <c r="G9" s="17" t="s">
        <v>74</v>
      </c>
      <c r="H9" s="16"/>
      <c r="I9" s="16"/>
      <c r="J9" s="16"/>
      <c r="K9" s="16"/>
      <c r="L9" s="16"/>
      <c r="M9" s="16"/>
      <c r="N9" s="16"/>
    </row>
    <row r="10" customFormat="false" ht="15" hidden="false" customHeight="true" outlineLevel="0" collapsed="false">
      <c r="A10" s="13" t="s">
        <v>78</v>
      </c>
      <c r="B10" s="14" t="s">
        <v>72</v>
      </c>
      <c r="C10" s="14" t="s">
        <v>72</v>
      </c>
      <c r="D10" s="14" t="s">
        <v>72</v>
      </c>
      <c r="E10" s="14" t="s">
        <v>72</v>
      </c>
      <c r="F10" s="15" t="s">
        <v>79</v>
      </c>
      <c r="G10" s="13" t="s">
        <v>80</v>
      </c>
      <c r="H10" s="16"/>
      <c r="I10" s="16"/>
      <c r="J10" s="16"/>
      <c r="K10" s="16"/>
      <c r="L10" s="16"/>
      <c r="M10" s="16"/>
      <c r="N10" s="16"/>
    </row>
    <row r="11" customFormat="false" ht="15" hidden="false" customHeight="true" outlineLevel="0" collapsed="false">
      <c r="A11" s="17" t="s">
        <v>81</v>
      </c>
      <c r="B11" s="14" t="s">
        <v>72</v>
      </c>
      <c r="C11" s="14" t="s">
        <v>72</v>
      </c>
      <c r="D11" s="14" t="s">
        <v>72</v>
      </c>
      <c r="E11" s="14" t="s">
        <v>72</v>
      </c>
      <c r="F11" s="18" t="s">
        <v>79</v>
      </c>
      <c r="G11" s="17" t="s">
        <v>74</v>
      </c>
      <c r="H11" s="16"/>
      <c r="I11" s="16"/>
      <c r="J11" s="16"/>
      <c r="K11" s="16"/>
      <c r="L11" s="16"/>
      <c r="M11" s="16"/>
      <c r="N11" s="16"/>
    </row>
    <row r="12" customFormat="false" ht="3.75" hidden="false" customHeight="true" outlineLevel="0" collapsed="false"/>
    <row r="13" customFormat="false" ht="16.5" hidden="false" customHeight="true" outlineLevel="0" collapsed="false">
      <c r="A13" s="12" t="s">
        <v>82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15" hidden="false" customHeight="true" outlineLevel="0" collapsed="false">
      <c r="A14" s="13" t="s">
        <v>83</v>
      </c>
      <c r="B14" s="14" t="s">
        <v>72</v>
      </c>
      <c r="C14" s="14" t="s">
        <v>72</v>
      </c>
      <c r="D14" s="14" t="s">
        <v>72</v>
      </c>
      <c r="E14" s="14" t="s">
        <v>72</v>
      </c>
      <c r="F14" s="15" t="s">
        <v>73</v>
      </c>
      <c r="G14" s="13" t="s">
        <v>74</v>
      </c>
      <c r="H14" s="16"/>
      <c r="I14" s="16"/>
      <c r="J14" s="16"/>
      <c r="K14" s="16"/>
      <c r="L14" s="16"/>
      <c r="M14" s="16"/>
      <c r="N14" s="16"/>
    </row>
    <row r="15" customFormat="false" ht="15" hidden="false" customHeight="true" outlineLevel="0" collapsed="false">
      <c r="A15" s="17" t="s">
        <v>84</v>
      </c>
      <c r="B15" s="14" t="s">
        <v>72</v>
      </c>
      <c r="C15" s="14" t="s">
        <v>72</v>
      </c>
      <c r="D15" s="14" t="s">
        <v>72</v>
      </c>
      <c r="E15" s="14" t="s">
        <v>72</v>
      </c>
      <c r="F15" s="18" t="s">
        <v>73</v>
      </c>
      <c r="G15" s="17" t="s">
        <v>74</v>
      </c>
      <c r="H15" s="16"/>
      <c r="I15" s="16"/>
      <c r="J15" s="16"/>
      <c r="K15" s="16"/>
      <c r="L15" s="16"/>
      <c r="M15" s="16"/>
      <c r="N15" s="16"/>
    </row>
    <row r="16" customFormat="false" ht="15" hidden="false" customHeight="true" outlineLevel="0" collapsed="false">
      <c r="A16" s="13" t="s">
        <v>85</v>
      </c>
      <c r="B16" s="14" t="s">
        <v>72</v>
      </c>
      <c r="C16" s="14" t="s">
        <v>72</v>
      </c>
      <c r="D16" s="14" t="s">
        <v>72</v>
      </c>
      <c r="E16" s="14" t="s">
        <v>72</v>
      </c>
      <c r="F16" s="15" t="s">
        <v>73</v>
      </c>
      <c r="G16" s="13" t="s">
        <v>74</v>
      </c>
      <c r="H16" s="16"/>
      <c r="I16" s="16"/>
      <c r="J16" s="16"/>
      <c r="K16" s="16"/>
      <c r="L16" s="16"/>
      <c r="M16" s="16"/>
      <c r="N16" s="16"/>
    </row>
    <row r="17" customFormat="false" ht="15" hidden="false" customHeight="true" outlineLevel="0" collapsed="false">
      <c r="A17" s="17" t="s">
        <v>86</v>
      </c>
      <c r="B17" s="14" t="s">
        <v>72</v>
      </c>
      <c r="C17" s="14" t="s">
        <v>72</v>
      </c>
      <c r="D17" s="14" t="s">
        <v>72</v>
      </c>
      <c r="E17" s="14" t="s">
        <v>72</v>
      </c>
      <c r="F17" s="18" t="s">
        <v>73</v>
      </c>
      <c r="G17" s="17" t="s">
        <v>74</v>
      </c>
      <c r="H17" s="16"/>
      <c r="I17" s="16"/>
      <c r="J17" s="16"/>
      <c r="K17" s="16"/>
      <c r="L17" s="16"/>
      <c r="M17" s="16"/>
      <c r="N17" s="16"/>
    </row>
    <row r="18" customFormat="false" ht="15" hidden="false" customHeight="true" outlineLevel="0" collapsed="false">
      <c r="A18" s="13" t="s">
        <v>87</v>
      </c>
      <c r="B18" s="14" t="s">
        <v>72</v>
      </c>
      <c r="C18" s="14" t="s">
        <v>72</v>
      </c>
      <c r="D18" s="14" t="s">
        <v>72</v>
      </c>
      <c r="E18" s="14" t="s">
        <v>72</v>
      </c>
      <c r="F18" s="15" t="s">
        <v>73</v>
      </c>
      <c r="G18" s="13" t="s">
        <v>74</v>
      </c>
      <c r="H18" s="16"/>
      <c r="I18" s="16"/>
      <c r="J18" s="16"/>
      <c r="K18" s="16"/>
      <c r="L18" s="16"/>
      <c r="M18" s="16"/>
      <c r="N18" s="16"/>
    </row>
    <row r="19" customFormat="false" ht="15" hidden="false" customHeight="true" outlineLevel="0" collapsed="false">
      <c r="A19" s="17" t="s">
        <v>88</v>
      </c>
      <c r="B19" s="14" t="s">
        <v>72</v>
      </c>
      <c r="C19" s="14" t="s">
        <v>72</v>
      </c>
      <c r="D19" s="14" t="s">
        <v>72</v>
      </c>
      <c r="E19" s="14" t="s">
        <v>72</v>
      </c>
      <c r="F19" s="18" t="s">
        <v>73</v>
      </c>
      <c r="G19" s="17" t="s">
        <v>80</v>
      </c>
      <c r="H19" s="16"/>
      <c r="I19" s="16"/>
      <c r="J19" s="16"/>
      <c r="K19" s="16"/>
      <c r="L19" s="16"/>
      <c r="M19" s="16"/>
      <c r="N19" s="16"/>
    </row>
    <row r="20" customFormat="false" ht="15" hidden="false" customHeight="true" outlineLevel="0" collapsed="false">
      <c r="A20" s="13" t="s">
        <v>89</v>
      </c>
      <c r="B20" s="14" t="s">
        <v>72</v>
      </c>
      <c r="C20" s="14" t="s">
        <v>72</v>
      </c>
      <c r="D20" s="14" t="s">
        <v>72</v>
      </c>
      <c r="E20" s="14" t="s">
        <v>72</v>
      </c>
      <c r="F20" s="15" t="s">
        <v>90</v>
      </c>
      <c r="G20" s="13" t="s">
        <v>74</v>
      </c>
      <c r="H20" s="16"/>
      <c r="I20" s="16"/>
      <c r="J20" s="16"/>
      <c r="K20" s="16"/>
      <c r="L20" s="16"/>
      <c r="M20" s="16"/>
      <c r="N20" s="16"/>
    </row>
    <row r="21" customFormat="false" ht="15" hidden="false" customHeight="true" outlineLevel="0" collapsed="false">
      <c r="A21" s="17" t="s">
        <v>91</v>
      </c>
      <c r="B21" s="14" t="s">
        <v>72</v>
      </c>
      <c r="C21" s="14" t="s">
        <v>72</v>
      </c>
      <c r="D21" s="14" t="s">
        <v>72</v>
      </c>
      <c r="E21" s="14" t="s">
        <v>72</v>
      </c>
      <c r="F21" s="18" t="s">
        <v>79</v>
      </c>
      <c r="G21" s="17" t="s">
        <v>74</v>
      </c>
      <c r="H21" s="16"/>
      <c r="I21" s="16"/>
      <c r="J21" s="16"/>
      <c r="K21" s="16"/>
      <c r="L21" s="16"/>
      <c r="M21" s="16"/>
      <c r="N21" s="16"/>
    </row>
    <row r="22" customFormat="false" ht="3.75" hidden="false" customHeight="true" outlineLevel="0" collapsed="false"/>
    <row r="23" customFormat="false" ht="16.5" hidden="false" customHeight="true" outlineLevel="0" collapsed="false">
      <c r="A23" s="12" t="s">
        <v>92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customFormat="false" ht="15" hidden="false" customHeight="true" outlineLevel="0" collapsed="false">
      <c r="A24" s="13" t="s">
        <v>93</v>
      </c>
      <c r="B24" s="14" t="s">
        <v>72</v>
      </c>
      <c r="C24" s="14" t="s">
        <v>72</v>
      </c>
      <c r="D24" s="14" t="s">
        <v>72</v>
      </c>
      <c r="E24" s="14" t="s">
        <v>72</v>
      </c>
      <c r="F24" s="15" t="s">
        <v>73</v>
      </c>
      <c r="G24" s="13" t="s">
        <v>74</v>
      </c>
      <c r="H24" s="16"/>
      <c r="I24" s="16"/>
      <c r="J24" s="16"/>
      <c r="K24" s="16"/>
      <c r="L24" s="16"/>
      <c r="M24" s="16"/>
      <c r="N24" s="16"/>
    </row>
    <row r="25" customFormat="false" ht="15" hidden="false" customHeight="true" outlineLevel="0" collapsed="false">
      <c r="A25" s="17" t="s">
        <v>94</v>
      </c>
      <c r="B25" s="14" t="s">
        <v>72</v>
      </c>
      <c r="C25" s="14" t="s">
        <v>72</v>
      </c>
      <c r="D25" s="14" t="s">
        <v>72</v>
      </c>
      <c r="E25" s="14" t="s">
        <v>72</v>
      </c>
      <c r="F25" s="18" t="s">
        <v>79</v>
      </c>
      <c r="G25" s="17" t="s">
        <v>74</v>
      </c>
      <c r="H25" s="16"/>
      <c r="I25" s="16"/>
      <c r="J25" s="16"/>
      <c r="K25" s="16"/>
      <c r="L25" s="16"/>
      <c r="M25" s="16"/>
      <c r="N25" s="16"/>
    </row>
    <row r="26" customFormat="false" ht="15" hidden="false" customHeight="true" outlineLevel="0" collapsed="false">
      <c r="A26" s="13" t="s">
        <v>95</v>
      </c>
      <c r="B26" s="14" t="s">
        <v>72</v>
      </c>
      <c r="C26" s="14" t="s">
        <v>72</v>
      </c>
      <c r="D26" s="14" t="s">
        <v>72</v>
      </c>
      <c r="E26" s="14" t="s">
        <v>72</v>
      </c>
      <c r="F26" s="15" t="s">
        <v>73</v>
      </c>
      <c r="G26" s="13" t="s">
        <v>74</v>
      </c>
      <c r="H26" s="16"/>
      <c r="I26" s="16"/>
      <c r="J26" s="16"/>
      <c r="K26" s="16"/>
      <c r="L26" s="16"/>
      <c r="M26" s="16"/>
      <c r="N26" s="16"/>
    </row>
    <row r="27" customFormat="false" ht="15" hidden="false" customHeight="true" outlineLevel="0" collapsed="false">
      <c r="A27" s="17" t="s">
        <v>96</v>
      </c>
      <c r="B27" s="14" t="s">
        <v>72</v>
      </c>
      <c r="C27" s="14" t="s">
        <v>72</v>
      </c>
      <c r="D27" s="14" t="s">
        <v>72</v>
      </c>
      <c r="E27" s="14" t="s">
        <v>72</v>
      </c>
      <c r="F27" s="18" t="s">
        <v>79</v>
      </c>
      <c r="G27" s="17" t="s">
        <v>74</v>
      </c>
      <c r="H27" s="16"/>
      <c r="I27" s="16"/>
      <c r="J27" s="16"/>
      <c r="K27" s="16"/>
      <c r="L27" s="16"/>
      <c r="M27" s="16"/>
      <c r="N27" s="16"/>
    </row>
    <row r="28" customFormat="false" ht="15" hidden="false" customHeight="true" outlineLevel="0" collapsed="false">
      <c r="A28" s="13" t="s">
        <v>97</v>
      </c>
      <c r="B28" s="14" t="s">
        <v>72</v>
      </c>
      <c r="C28" s="14" t="s">
        <v>72</v>
      </c>
      <c r="D28" s="14" t="s">
        <v>72</v>
      </c>
      <c r="E28" s="14" t="s">
        <v>72</v>
      </c>
      <c r="F28" s="15" t="s">
        <v>73</v>
      </c>
      <c r="G28" s="13" t="s">
        <v>74</v>
      </c>
      <c r="H28" s="16"/>
      <c r="I28" s="16"/>
      <c r="J28" s="16"/>
      <c r="K28" s="16"/>
      <c r="L28" s="16"/>
      <c r="M28" s="16"/>
      <c r="N28" s="16"/>
    </row>
    <row r="29" customFormat="false" ht="15" hidden="false" customHeight="true" outlineLevel="0" collapsed="false">
      <c r="A29" s="17" t="s">
        <v>98</v>
      </c>
      <c r="B29" s="14" t="s">
        <v>72</v>
      </c>
      <c r="C29" s="14" t="s">
        <v>72</v>
      </c>
      <c r="D29" s="14" t="s">
        <v>72</v>
      </c>
      <c r="E29" s="14" t="s">
        <v>72</v>
      </c>
      <c r="F29" s="18" t="s">
        <v>73</v>
      </c>
      <c r="G29" s="17" t="s">
        <v>74</v>
      </c>
      <c r="H29" s="16"/>
      <c r="I29" s="16"/>
      <c r="J29" s="16"/>
      <c r="K29" s="16"/>
      <c r="L29" s="16"/>
      <c r="M29" s="16"/>
      <c r="N29" s="16"/>
    </row>
    <row r="30" customFormat="false" ht="15" hidden="false" customHeight="true" outlineLevel="0" collapsed="false">
      <c r="A30" s="13" t="s">
        <v>99</v>
      </c>
      <c r="B30" s="14" t="s">
        <v>72</v>
      </c>
      <c r="C30" s="14" t="s">
        <v>72</v>
      </c>
      <c r="D30" s="14" t="s">
        <v>72</v>
      </c>
      <c r="E30" s="14" t="s">
        <v>72</v>
      </c>
      <c r="F30" s="15" t="s">
        <v>73</v>
      </c>
      <c r="G30" s="13" t="s">
        <v>74</v>
      </c>
      <c r="H30" s="16"/>
      <c r="I30" s="16"/>
      <c r="J30" s="16"/>
      <c r="K30" s="16"/>
      <c r="L30" s="16"/>
      <c r="M30" s="16"/>
      <c r="N30" s="16"/>
    </row>
    <row r="31" customFormat="false" ht="3.75" hidden="false" customHeight="true" outlineLevel="0" collapsed="false"/>
    <row r="32" customFormat="false" ht="16.5" hidden="false" customHeight="true" outlineLevel="0" collapsed="false">
      <c r="A32" s="12" t="s">
        <v>100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customFormat="false" ht="15" hidden="false" customHeight="true" outlineLevel="0" collapsed="false">
      <c r="A33" s="13" t="s">
        <v>101</v>
      </c>
      <c r="B33" s="14" t="s">
        <v>72</v>
      </c>
      <c r="C33" s="14" t="s">
        <v>72</v>
      </c>
      <c r="D33" s="14" t="s">
        <v>72</v>
      </c>
      <c r="E33" s="14" t="s">
        <v>72</v>
      </c>
      <c r="F33" s="15" t="s">
        <v>73</v>
      </c>
      <c r="G33" s="13" t="s">
        <v>74</v>
      </c>
      <c r="H33" s="16"/>
      <c r="I33" s="16"/>
      <c r="J33" s="16"/>
      <c r="K33" s="16"/>
      <c r="L33" s="16"/>
      <c r="M33" s="16"/>
      <c r="N33" s="16"/>
    </row>
    <row r="34" customFormat="false" ht="15" hidden="false" customHeight="true" outlineLevel="0" collapsed="false">
      <c r="A34" s="17" t="s">
        <v>102</v>
      </c>
      <c r="B34" s="14" t="s">
        <v>72</v>
      </c>
      <c r="C34" s="14" t="s">
        <v>72</v>
      </c>
      <c r="D34" s="14" t="s">
        <v>72</v>
      </c>
      <c r="E34" s="14" t="s">
        <v>72</v>
      </c>
      <c r="F34" s="18" t="s">
        <v>73</v>
      </c>
      <c r="G34" s="17" t="s">
        <v>74</v>
      </c>
      <c r="H34" s="16"/>
      <c r="I34" s="16"/>
      <c r="J34" s="16"/>
      <c r="K34" s="16"/>
      <c r="L34" s="16"/>
      <c r="M34" s="16"/>
      <c r="N34" s="16"/>
    </row>
    <row r="35" customFormat="false" ht="15" hidden="false" customHeight="true" outlineLevel="0" collapsed="false">
      <c r="A35" s="13" t="s">
        <v>103</v>
      </c>
      <c r="B35" s="14" t="s">
        <v>72</v>
      </c>
      <c r="C35" s="14" t="s">
        <v>72</v>
      </c>
      <c r="D35" s="14" t="s">
        <v>72</v>
      </c>
      <c r="E35" s="14" t="s">
        <v>72</v>
      </c>
      <c r="F35" s="15" t="s">
        <v>73</v>
      </c>
      <c r="G35" s="13" t="s">
        <v>74</v>
      </c>
      <c r="H35" s="16"/>
      <c r="I35" s="16"/>
      <c r="J35" s="16"/>
      <c r="K35" s="16"/>
      <c r="L35" s="16"/>
      <c r="M35" s="16"/>
      <c r="N35" s="16"/>
    </row>
    <row r="36" customFormat="false" ht="15" hidden="false" customHeight="true" outlineLevel="0" collapsed="false">
      <c r="A36" s="17" t="s">
        <v>104</v>
      </c>
      <c r="B36" s="14" t="s">
        <v>72</v>
      </c>
      <c r="C36" s="14" t="s">
        <v>72</v>
      </c>
      <c r="D36" s="14" t="s">
        <v>72</v>
      </c>
      <c r="E36" s="14" t="s">
        <v>72</v>
      </c>
      <c r="F36" s="18" t="s">
        <v>73</v>
      </c>
      <c r="G36" s="17" t="s">
        <v>74</v>
      </c>
      <c r="H36" s="16"/>
      <c r="I36" s="16"/>
      <c r="J36" s="16"/>
      <c r="K36" s="16"/>
      <c r="L36" s="16"/>
      <c r="M36" s="16"/>
      <c r="N36" s="16"/>
    </row>
    <row r="37" customFormat="false" ht="15" hidden="false" customHeight="true" outlineLevel="0" collapsed="false">
      <c r="A37" s="13" t="s">
        <v>105</v>
      </c>
      <c r="B37" s="14" t="s">
        <v>72</v>
      </c>
      <c r="C37" s="14" t="s">
        <v>72</v>
      </c>
      <c r="D37" s="14" t="s">
        <v>72</v>
      </c>
      <c r="E37" s="14" t="s">
        <v>72</v>
      </c>
      <c r="F37" s="15" t="s">
        <v>73</v>
      </c>
      <c r="G37" s="13" t="s">
        <v>74</v>
      </c>
      <c r="H37" s="16"/>
      <c r="I37" s="16"/>
      <c r="J37" s="16"/>
      <c r="K37" s="16"/>
      <c r="L37" s="16"/>
      <c r="M37" s="16"/>
      <c r="N37" s="16"/>
    </row>
    <row r="38" customFormat="false" ht="15" hidden="false" customHeight="true" outlineLevel="0" collapsed="false">
      <c r="A38" s="17" t="s">
        <v>106</v>
      </c>
      <c r="B38" s="14" t="s">
        <v>72</v>
      </c>
      <c r="C38" s="14" t="s">
        <v>72</v>
      </c>
      <c r="D38" s="14" t="s">
        <v>72</v>
      </c>
      <c r="E38" s="14" t="s">
        <v>72</v>
      </c>
      <c r="F38" s="18" t="s">
        <v>79</v>
      </c>
      <c r="G38" s="17" t="s">
        <v>74</v>
      </c>
      <c r="H38" s="16"/>
      <c r="I38" s="16"/>
      <c r="J38" s="16"/>
      <c r="K38" s="16"/>
      <c r="L38" s="16"/>
      <c r="M38" s="16"/>
      <c r="N38" s="16"/>
    </row>
    <row r="39" customFormat="false" ht="15" hidden="false" customHeight="true" outlineLevel="0" collapsed="false">
      <c r="A39" s="13" t="s">
        <v>107</v>
      </c>
      <c r="B39" s="14" t="s">
        <v>72</v>
      </c>
      <c r="C39" s="14" t="s">
        <v>72</v>
      </c>
      <c r="D39" s="14" t="s">
        <v>72</v>
      </c>
      <c r="E39" s="14" t="s">
        <v>72</v>
      </c>
      <c r="F39" s="15" t="s">
        <v>73</v>
      </c>
      <c r="G39" s="13" t="s">
        <v>74</v>
      </c>
      <c r="H39" s="16"/>
      <c r="I39" s="16"/>
      <c r="J39" s="16"/>
      <c r="K39" s="16"/>
      <c r="L39" s="16"/>
      <c r="M39" s="16"/>
      <c r="N39" s="16"/>
    </row>
    <row r="40" customFormat="false" ht="15" hidden="false" customHeight="true" outlineLevel="0" collapsed="false">
      <c r="A40" s="17" t="s">
        <v>108</v>
      </c>
      <c r="B40" s="14" t="s">
        <v>72</v>
      </c>
      <c r="C40" s="14" t="s">
        <v>72</v>
      </c>
      <c r="D40" s="14" t="s">
        <v>72</v>
      </c>
      <c r="E40" s="14" t="s">
        <v>72</v>
      </c>
      <c r="F40" s="18" t="s">
        <v>90</v>
      </c>
      <c r="G40" s="17" t="s">
        <v>109</v>
      </c>
      <c r="H40" s="16"/>
      <c r="I40" s="16"/>
      <c r="J40" s="16"/>
      <c r="K40" s="16"/>
      <c r="L40" s="16"/>
      <c r="M40" s="16"/>
      <c r="N40" s="16"/>
    </row>
    <row r="41" customFormat="false" ht="3.75" hidden="false" customHeight="true" outlineLevel="0" collapsed="false"/>
    <row r="42" customFormat="false" ht="16.5" hidden="false" customHeight="true" outlineLevel="0" collapsed="false">
      <c r="A42" s="12" t="s">
        <v>110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customFormat="false" ht="15" hidden="false" customHeight="true" outlineLevel="0" collapsed="false">
      <c r="A43" s="13" t="s">
        <v>111</v>
      </c>
      <c r="B43" s="14" t="s">
        <v>72</v>
      </c>
      <c r="C43" s="14" t="s">
        <v>72</v>
      </c>
      <c r="D43" s="14" t="s">
        <v>72</v>
      </c>
      <c r="E43" s="14" t="s">
        <v>72</v>
      </c>
      <c r="F43" s="15" t="s">
        <v>73</v>
      </c>
      <c r="G43" s="13" t="s">
        <v>74</v>
      </c>
      <c r="H43" s="16"/>
      <c r="I43" s="16"/>
      <c r="J43" s="16"/>
      <c r="K43" s="16"/>
      <c r="L43" s="16"/>
      <c r="M43" s="16"/>
      <c r="N43" s="16"/>
    </row>
    <row r="44" customFormat="false" ht="15" hidden="false" customHeight="true" outlineLevel="0" collapsed="false">
      <c r="A44" s="17" t="s">
        <v>112</v>
      </c>
      <c r="B44" s="14" t="s">
        <v>72</v>
      </c>
      <c r="C44" s="14" t="s">
        <v>72</v>
      </c>
      <c r="D44" s="14" t="s">
        <v>72</v>
      </c>
      <c r="E44" s="14" t="s">
        <v>72</v>
      </c>
      <c r="F44" s="18" t="s">
        <v>73</v>
      </c>
      <c r="G44" s="17" t="s">
        <v>74</v>
      </c>
      <c r="H44" s="16"/>
      <c r="I44" s="16"/>
      <c r="J44" s="16"/>
      <c r="K44" s="16"/>
      <c r="L44" s="16"/>
      <c r="M44" s="16"/>
      <c r="N44" s="16"/>
    </row>
    <row r="45" customFormat="false" ht="15" hidden="false" customHeight="true" outlineLevel="0" collapsed="false">
      <c r="A45" s="13" t="s">
        <v>113</v>
      </c>
      <c r="B45" s="14" t="s">
        <v>72</v>
      </c>
      <c r="C45" s="14" t="s">
        <v>72</v>
      </c>
      <c r="D45" s="14" t="s">
        <v>72</v>
      </c>
      <c r="E45" s="14" t="s">
        <v>72</v>
      </c>
      <c r="F45" s="15" t="s">
        <v>73</v>
      </c>
      <c r="G45" s="13" t="s">
        <v>74</v>
      </c>
      <c r="H45" s="16"/>
      <c r="I45" s="16"/>
      <c r="J45" s="16"/>
      <c r="K45" s="16"/>
      <c r="L45" s="16"/>
      <c r="M45" s="16"/>
      <c r="N45" s="16"/>
    </row>
    <row r="46" customFormat="false" ht="15" hidden="false" customHeight="true" outlineLevel="0" collapsed="false">
      <c r="A46" s="17" t="s">
        <v>114</v>
      </c>
      <c r="B46" s="14" t="s">
        <v>72</v>
      </c>
      <c r="C46" s="14" t="s">
        <v>72</v>
      </c>
      <c r="D46" s="14" t="s">
        <v>72</v>
      </c>
      <c r="E46" s="14" t="s">
        <v>72</v>
      </c>
      <c r="F46" s="18" t="s">
        <v>73</v>
      </c>
      <c r="G46" s="17" t="s">
        <v>74</v>
      </c>
      <c r="H46" s="16"/>
      <c r="I46" s="16"/>
      <c r="J46" s="16"/>
      <c r="K46" s="16"/>
      <c r="L46" s="16"/>
      <c r="M46" s="16"/>
      <c r="N46" s="16"/>
    </row>
    <row r="47" customFormat="false" ht="15" hidden="false" customHeight="true" outlineLevel="0" collapsed="false">
      <c r="A47" s="13" t="s">
        <v>115</v>
      </c>
      <c r="B47" s="14" t="s">
        <v>72</v>
      </c>
      <c r="C47" s="14" t="s">
        <v>72</v>
      </c>
      <c r="D47" s="14" t="s">
        <v>72</v>
      </c>
      <c r="E47" s="14" t="s">
        <v>72</v>
      </c>
      <c r="F47" s="15" t="s">
        <v>79</v>
      </c>
      <c r="G47" s="13" t="s">
        <v>74</v>
      </c>
      <c r="H47" s="16"/>
      <c r="I47" s="16"/>
      <c r="J47" s="16"/>
      <c r="K47" s="16"/>
      <c r="L47" s="16"/>
      <c r="M47" s="16"/>
      <c r="N47" s="16"/>
    </row>
    <row r="48" customFormat="false" ht="3.75" hidden="false" customHeight="true" outlineLevel="0" collapsed="false"/>
    <row r="49" customFormat="false" ht="16.5" hidden="false" customHeight="true" outlineLevel="0" collapsed="false">
      <c r="A49" s="12" t="s">
        <v>116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customFormat="false" ht="15" hidden="false" customHeight="true" outlineLevel="0" collapsed="false">
      <c r="A50" s="13" t="s">
        <v>117</v>
      </c>
      <c r="B50" s="14" t="s">
        <v>72</v>
      </c>
      <c r="C50" s="14" t="s">
        <v>72</v>
      </c>
      <c r="D50" s="14" t="s">
        <v>72</v>
      </c>
      <c r="E50" s="14" t="s">
        <v>72</v>
      </c>
      <c r="F50" s="15" t="s">
        <v>79</v>
      </c>
      <c r="G50" s="13" t="s">
        <v>118</v>
      </c>
      <c r="H50" s="16"/>
      <c r="I50" s="16"/>
      <c r="J50" s="16"/>
      <c r="K50" s="16"/>
      <c r="L50" s="16"/>
      <c r="M50" s="16"/>
      <c r="N50" s="16"/>
    </row>
    <row r="51" customFormat="false" ht="15" hidden="false" customHeight="true" outlineLevel="0" collapsed="false">
      <c r="A51" s="17" t="s">
        <v>119</v>
      </c>
      <c r="B51" s="14" t="s">
        <v>72</v>
      </c>
      <c r="C51" s="14" t="s">
        <v>72</v>
      </c>
      <c r="D51" s="14" t="s">
        <v>72</v>
      </c>
      <c r="E51" s="14" t="s">
        <v>72</v>
      </c>
      <c r="F51" s="18" t="s">
        <v>73</v>
      </c>
      <c r="G51" s="17" t="s">
        <v>74</v>
      </c>
      <c r="H51" s="16"/>
      <c r="I51" s="16"/>
      <c r="J51" s="16"/>
      <c r="K51" s="16"/>
      <c r="L51" s="16"/>
      <c r="M51" s="16"/>
      <c r="N51" s="16"/>
    </row>
    <row r="52" customFormat="false" ht="15" hidden="false" customHeight="true" outlineLevel="0" collapsed="false">
      <c r="A52" s="13" t="s">
        <v>120</v>
      </c>
      <c r="B52" s="14" t="s">
        <v>72</v>
      </c>
      <c r="C52" s="14" t="s">
        <v>72</v>
      </c>
      <c r="D52" s="14" t="s">
        <v>72</v>
      </c>
      <c r="E52" s="14" t="s">
        <v>72</v>
      </c>
      <c r="F52" s="15" t="s">
        <v>79</v>
      </c>
      <c r="G52" s="13" t="s">
        <v>74</v>
      </c>
      <c r="H52" s="16"/>
      <c r="I52" s="16"/>
      <c r="J52" s="16"/>
      <c r="K52" s="16"/>
      <c r="L52" s="16"/>
      <c r="M52" s="16"/>
      <c r="N52" s="16"/>
    </row>
    <row r="53" customFormat="false" ht="15" hidden="false" customHeight="true" outlineLevel="0" collapsed="false">
      <c r="A53" s="17" t="s">
        <v>121</v>
      </c>
      <c r="B53" s="14" t="s">
        <v>72</v>
      </c>
      <c r="C53" s="14" t="s">
        <v>72</v>
      </c>
      <c r="D53" s="14" t="s">
        <v>72</v>
      </c>
      <c r="E53" s="14" t="s">
        <v>72</v>
      </c>
      <c r="F53" s="18" t="s">
        <v>73</v>
      </c>
      <c r="G53" s="17" t="s">
        <v>80</v>
      </c>
      <c r="H53" s="16"/>
      <c r="I53" s="16"/>
      <c r="J53" s="16"/>
      <c r="K53" s="16"/>
      <c r="L53" s="16"/>
      <c r="M53" s="16"/>
      <c r="N53" s="16"/>
    </row>
    <row r="54" customFormat="false" ht="15" hidden="false" customHeight="true" outlineLevel="0" collapsed="false">
      <c r="A54" s="13" t="s">
        <v>122</v>
      </c>
      <c r="B54" s="14" t="s">
        <v>72</v>
      </c>
      <c r="C54" s="14" t="s">
        <v>72</v>
      </c>
      <c r="D54" s="14" t="s">
        <v>72</v>
      </c>
      <c r="E54" s="14" t="s">
        <v>72</v>
      </c>
      <c r="F54" s="15" t="s">
        <v>90</v>
      </c>
      <c r="G54" s="13" t="s">
        <v>80</v>
      </c>
      <c r="H54" s="16"/>
      <c r="I54" s="16"/>
      <c r="J54" s="16"/>
      <c r="K54" s="16"/>
      <c r="L54" s="16"/>
      <c r="M54" s="16"/>
      <c r="N54" s="16"/>
    </row>
    <row r="55" customFormat="false" ht="15" hidden="false" customHeight="true" outlineLevel="0" collapsed="false">
      <c r="A55" s="17" t="s">
        <v>123</v>
      </c>
      <c r="B55" s="14" t="s">
        <v>72</v>
      </c>
      <c r="C55" s="14" t="s">
        <v>72</v>
      </c>
      <c r="D55" s="14" t="s">
        <v>72</v>
      </c>
      <c r="E55" s="14" t="s">
        <v>72</v>
      </c>
      <c r="F55" s="18" t="s">
        <v>79</v>
      </c>
      <c r="G55" s="17" t="s">
        <v>80</v>
      </c>
      <c r="H55" s="16"/>
      <c r="I55" s="16"/>
      <c r="J55" s="16"/>
      <c r="K55" s="16"/>
      <c r="L55" s="16"/>
      <c r="M55" s="16"/>
      <c r="N55" s="16"/>
    </row>
    <row r="56" customFormat="false" ht="15" hidden="false" customHeight="true" outlineLevel="0" collapsed="false">
      <c r="A56" s="13" t="s">
        <v>124</v>
      </c>
      <c r="B56" s="14" t="s">
        <v>72</v>
      </c>
      <c r="C56" s="14" t="s">
        <v>72</v>
      </c>
      <c r="D56" s="14" t="s">
        <v>72</v>
      </c>
      <c r="E56" s="14" t="s">
        <v>72</v>
      </c>
      <c r="F56" s="15" t="s">
        <v>73</v>
      </c>
      <c r="G56" s="13" t="s">
        <v>80</v>
      </c>
      <c r="H56" s="16"/>
      <c r="I56" s="16"/>
      <c r="J56" s="16"/>
      <c r="K56" s="16"/>
      <c r="L56" s="16"/>
      <c r="M56" s="16"/>
      <c r="N56" s="16"/>
    </row>
    <row r="57" customFormat="false" ht="15" hidden="false" customHeight="true" outlineLevel="0" collapsed="false">
      <c r="A57" s="17" t="s">
        <v>125</v>
      </c>
      <c r="B57" s="14" t="s">
        <v>72</v>
      </c>
      <c r="C57" s="14" t="s">
        <v>72</v>
      </c>
      <c r="D57" s="14" t="s">
        <v>72</v>
      </c>
      <c r="E57" s="14" t="s">
        <v>72</v>
      </c>
      <c r="F57" s="18" t="s">
        <v>73</v>
      </c>
      <c r="G57" s="17" t="s">
        <v>80</v>
      </c>
      <c r="H57" s="16"/>
      <c r="I57" s="16"/>
      <c r="J57" s="16"/>
      <c r="K57" s="16"/>
      <c r="L57" s="16"/>
      <c r="M57" s="16"/>
      <c r="N57" s="16"/>
    </row>
    <row r="58" customFormat="false" ht="3.75" hidden="false" customHeight="true" outlineLevel="0" collapsed="false"/>
    <row r="59" customFormat="false" ht="16.5" hidden="false" customHeight="true" outlineLevel="0" collapsed="false">
      <c r="A59" s="12" t="s">
        <v>126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customFormat="false" ht="15" hidden="false" customHeight="true" outlineLevel="0" collapsed="false">
      <c r="A60" s="13" t="s">
        <v>127</v>
      </c>
      <c r="B60" s="14" t="s">
        <v>72</v>
      </c>
      <c r="C60" s="14" t="s">
        <v>72</v>
      </c>
      <c r="D60" s="14" t="s">
        <v>72</v>
      </c>
      <c r="E60" s="14" t="s">
        <v>72</v>
      </c>
      <c r="F60" s="15" t="s">
        <v>79</v>
      </c>
      <c r="G60" s="13" t="s">
        <v>74</v>
      </c>
      <c r="H60" s="16"/>
      <c r="I60" s="16"/>
      <c r="J60" s="16"/>
      <c r="K60" s="16"/>
      <c r="L60" s="16"/>
      <c r="M60" s="16"/>
      <c r="N60" s="16"/>
    </row>
    <row r="61" customFormat="false" ht="15" hidden="false" customHeight="true" outlineLevel="0" collapsed="false">
      <c r="A61" s="17" t="s">
        <v>128</v>
      </c>
      <c r="B61" s="14" t="s">
        <v>72</v>
      </c>
      <c r="C61" s="14" t="s">
        <v>72</v>
      </c>
      <c r="D61" s="14" t="s">
        <v>72</v>
      </c>
      <c r="E61" s="14" t="s">
        <v>72</v>
      </c>
      <c r="F61" s="18" t="s">
        <v>73</v>
      </c>
      <c r="G61" s="17" t="s">
        <v>74</v>
      </c>
      <c r="H61" s="16"/>
      <c r="I61" s="16"/>
      <c r="J61" s="16"/>
      <c r="K61" s="16"/>
      <c r="L61" s="16"/>
      <c r="M61" s="16"/>
      <c r="N61" s="16"/>
    </row>
    <row r="62" customFormat="false" ht="15" hidden="false" customHeight="true" outlineLevel="0" collapsed="false">
      <c r="A62" s="13" t="s">
        <v>129</v>
      </c>
      <c r="B62" s="14" t="s">
        <v>72</v>
      </c>
      <c r="C62" s="14" t="s">
        <v>72</v>
      </c>
      <c r="D62" s="14" t="s">
        <v>72</v>
      </c>
      <c r="E62" s="14" t="s">
        <v>72</v>
      </c>
      <c r="F62" s="15" t="s">
        <v>73</v>
      </c>
      <c r="G62" s="13" t="s">
        <v>74</v>
      </c>
      <c r="H62" s="16"/>
      <c r="I62" s="16"/>
      <c r="J62" s="16"/>
      <c r="K62" s="16"/>
      <c r="L62" s="16"/>
      <c r="M62" s="16"/>
      <c r="N62" s="16"/>
    </row>
    <row r="63" customFormat="false" ht="15" hidden="false" customHeight="true" outlineLevel="0" collapsed="false">
      <c r="A63" s="17" t="s">
        <v>130</v>
      </c>
      <c r="B63" s="14" t="s">
        <v>72</v>
      </c>
      <c r="C63" s="14" t="s">
        <v>72</v>
      </c>
      <c r="D63" s="14" t="s">
        <v>72</v>
      </c>
      <c r="E63" s="14" t="s">
        <v>72</v>
      </c>
      <c r="F63" s="18" t="s">
        <v>79</v>
      </c>
      <c r="G63" s="17" t="s">
        <v>74</v>
      </c>
      <c r="H63" s="16"/>
      <c r="I63" s="16"/>
      <c r="J63" s="16"/>
      <c r="K63" s="16"/>
      <c r="L63" s="16"/>
      <c r="M63" s="16"/>
      <c r="N63" s="16"/>
    </row>
    <row r="64" customFormat="false" ht="15" hidden="false" customHeight="true" outlineLevel="0" collapsed="false">
      <c r="A64" s="13" t="s">
        <v>131</v>
      </c>
      <c r="B64" s="14" t="s">
        <v>72</v>
      </c>
      <c r="C64" s="14" t="s">
        <v>72</v>
      </c>
      <c r="D64" s="14" t="s">
        <v>72</v>
      </c>
      <c r="E64" s="14" t="s">
        <v>72</v>
      </c>
      <c r="F64" s="15" t="s">
        <v>73</v>
      </c>
      <c r="G64" s="13" t="s">
        <v>80</v>
      </c>
      <c r="H64" s="16"/>
      <c r="I64" s="16"/>
      <c r="J64" s="16"/>
      <c r="K64" s="16"/>
      <c r="L64" s="16"/>
      <c r="M64" s="16"/>
      <c r="N64" s="16"/>
    </row>
    <row r="65" customFormat="false" ht="3.75" hidden="false" customHeight="true" outlineLevel="0" collapsed="false"/>
    <row r="66" customFormat="false" ht="16.5" hidden="false" customHeight="true" outlineLevel="0" collapsed="false">
      <c r="A66" s="12" t="s">
        <v>132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customFormat="false" ht="15" hidden="false" customHeight="true" outlineLevel="0" collapsed="false">
      <c r="A67" s="13" t="s">
        <v>133</v>
      </c>
      <c r="B67" s="14" t="s">
        <v>72</v>
      </c>
      <c r="C67" s="14" t="s">
        <v>72</v>
      </c>
      <c r="D67" s="14" t="s">
        <v>72</v>
      </c>
      <c r="E67" s="14" t="s">
        <v>72</v>
      </c>
      <c r="F67" s="15" t="s">
        <v>73</v>
      </c>
      <c r="G67" s="13" t="s">
        <v>74</v>
      </c>
      <c r="H67" s="16"/>
      <c r="I67" s="16"/>
      <c r="J67" s="16"/>
      <c r="K67" s="16"/>
      <c r="L67" s="16"/>
      <c r="M67" s="16"/>
      <c r="N67" s="16"/>
    </row>
    <row r="68" customFormat="false" ht="15" hidden="false" customHeight="true" outlineLevel="0" collapsed="false">
      <c r="A68" s="17" t="s">
        <v>134</v>
      </c>
      <c r="B68" s="14" t="s">
        <v>72</v>
      </c>
      <c r="C68" s="14" t="s">
        <v>72</v>
      </c>
      <c r="D68" s="14" t="s">
        <v>72</v>
      </c>
      <c r="E68" s="14" t="s">
        <v>72</v>
      </c>
      <c r="F68" s="18" t="s">
        <v>73</v>
      </c>
      <c r="G68" s="17" t="s">
        <v>74</v>
      </c>
      <c r="H68" s="16"/>
      <c r="I68" s="16"/>
      <c r="J68" s="16"/>
      <c r="K68" s="16"/>
      <c r="L68" s="16"/>
      <c r="M68" s="16"/>
      <c r="N68" s="16"/>
    </row>
    <row r="69" customFormat="false" ht="15" hidden="false" customHeight="true" outlineLevel="0" collapsed="false">
      <c r="A69" s="13" t="s">
        <v>135</v>
      </c>
      <c r="B69" s="14" t="s">
        <v>72</v>
      </c>
      <c r="C69" s="14" t="s">
        <v>72</v>
      </c>
      <c r="D69" s="14" t="s">
        <v>72</v>
      </c>
      <c r="E69" s="14" t="s">
        <v>72</v>
      </c>
      <c r="F69" s="15" t="s">
        <v>73</v>
      </c>
      <c r="G69" s="13" t="s">
        <v>74</v>
      </c>
      <c r="H69" s="16"/>
      <c r="I69" s="16"/>
      <c r="J69" s="16"/>
      <c r="K69" s="16"/>
      <c r="L69" s="16"/>
      <c r="M69" s="16"/>
      <c r="N69" s="16"/>
    </row>
    <row r="70" customFormat="false" ht="15" hidden="false" customHeight="true" outlineLevel="0" collapsed="false">
      <c r="A70" s="17" t="s">
        <v>136</v>
      </c>
      <c r="B70" s="14" t="s">
        <v>72</v>
      </c>
      <c r="C70" s="14" t="s">
        <v>72</v>
      </c>
      <c r="D70" s="14" t="s">
        <v>72</v>
      </c>
      <c r="E70" s="14" t="s">
        <v>72</v>
      </c>
      <c r="F70" s="18" t="s">
        <v>73</v>
      </c>
      <c r="G70" s="17" t="s">
        <v>74</v>
      </c>
      <c r="H70" s="16"/>
      <c r="I70" s="16"/>
      <c r="J70" s="16"/>
      <c r="K70" s="16"/>
      <c r="L70" s="16"/>
      <c r="M70" s="16"/>
      <c r="N70" s="16"/>
    </row>
    <row r="71" customFormat="false" ht="15" hidden="false" customHeight="true" outlineLevel="0" collapsed="false">
      <c r="A71" s="13" t="s">
        <v>137</v>
      </c>
      <c r="B71" s="14" t="s">
        <v>72</v>
      </c>
      <c r="C71" s="14" t="s">
        <v>72</v>
      </c>
      <c r="D71" s="14" t="s">
        <v>72</v>
      </c>
      <c r="E71" s="14" t="s">
        <v>72</v>
      </c>
      <c r="F71" s="15" t="s">
        <v>79</v>
      </c>
      <c r="G71" s="13" t="s">
        <v>74</v>
      </c>
      <c r="H71" s="16"/>
      <c r="I71" s="16"/>
      <c r="J71" s="16"/>
      <c r="K71" s="16"/>
      <c r="L71" s="16"/>
      <c r="M71" s="16"/>
      <c r="N71" s="16"/>
    </row>
    <row r="72" customFormat="false" ht="15" hidden="false" customHeight="true" outlineLevel="0" collapsed="false">
      <c r="A72" s="17" t="s">
        <v>138</v>
      </c>
      <c r="B72" s="14" t="s">
        <v>72</v>
      </c>
      <c r="C72" s="14" t="s">
        <v>72</v>
      </c>
      <c r="D72" s="14" t="s">
        <v>72</v>
      </c>
      <c r="E72" s="14" t="s">
        <v>72</v>
      </c>
      <c r="F72" s="18" t="s">
        <v>73</v>
      </c>
      <c r="G72" s="17" t="s">
        <v>74</v>
      </c>
      <c r="H72" s="16"/>
      <c r="I72" s="16"/>
      <c r="J72" s="16"/>
      <c r="K72" s="16"/>
      <c r="L72" s="16"/>
      <c r="M72" s="16"/>
      <c r="N72" s="16"/>
    </row>
    <row r="73" customFormat="false" ht="3.75" hidden="false" customHeight="true" outlineLevel="0" collapsed="false"/>
    <row r="74" customFormat="false" ht="16.5" hidden="false" customHeight="true" outlineLevel="0" collapsed="false">
      <c r="A74" s="12" t="s">
        <v>139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customFormat="false" ht="15" hidden="false" customHeight="true" outlineLevel="0" collapsed="false">
      <c r="A75" s="13" t="s">
        <v>140</v>
      </c>
      <c r="B75" s="14" t="s">
        <v>72</v>
      </c>
      <c r="C75" s="14" t="s">
        <v>72</v>
      </c>
      <c r="D75" s="14" t="s">
        <v>72</v>
      </c>
      <c r="E75" s="14" t="s">
        <v>72</v>
      </c>
      <c r="F75" s="15" t="s">
        <v>73</v>
      </c>
      <c r="G75" s="13" t="s">
        <v>74</v>
      </c>
      <c r="H75" s="16"/>
      <c r="I75" s="16"/>
      <c r="J75" s="16"/>
      <c r="K75" s="16"/>
      <c r="L75" s="16"/>
      <c r="M75" s="16"/>
      <c r="N75" s="16"/>
    </row>
    <row r="76" customFormat="false" ht="15" hidden="false" customHeight="true" outlineLevel="0" collapsed="false">
      <c r="A76" s="17" t="s">
        <v>141</v>
      </c>
      <c r="B76" s="14" t="s">
        <v>72</v>
      </c>
      <c r="C76" s="14" t="s">
        <v>72</v>
      </c>
      <c r="D76" s="14" t="s">
        <v>72</v>
      </c>
      <c r="E76" s="14" t="s">
        <v>72</v>
      </c>
      <c r="F76" s="18" t="s">
        <v>73</v>
      </c>
      <c r="G76" s="17" t="s">
        <v>74</v>
      </c>
      <c r="H76" s="16"/>
      <c r="I76" s="16"/>
      <c r="J76" s="16"/>
      <c r="K76" s="16"/>
      <c r="L76" s="16"/>
      <c r="M76" s="16"/>
      <c r="N76" s="16"/>
    </row>
    <row r="77" customFormat="false" ht="15" hidden="false" customHeight="true" outlineLevel="0" collapsed="false">
      <c r="A77" s="13" t="s">
        <v>142</v>
      </c>
      <c r="B77" s="14" t="s">
        <v>72</v>
      </c>
      <c r="C77" s="14" t="s">
        <v>72</v>
      </c>
      <c r="D77" s="14" t="s">
        <v>72</v>
      </c>
      <c r="E77" s="14" t="s">
        <v>72</v>
      </c>
      <c r="F77" s="15" t="s">
        <v>73</v>
      </c>
      <c r="G77" s="13" t="s">
        <v>74</v>
      </c>
      <c r="H77" s="16"/>
      <c r="I77" s="16"/>
      <c r="J77" s="16"/>
      <c r="K77" s="16"/>
      <c r="L77" s="16"/>
      <c r="M77" s="16"/>
      <c r="N77" s="16"/>
    </row>
    <row r="78" customFormat="false" ht="15" hidden="false" customHeight="true" outlineLevel="0" collapsed="false">
      <c r="A78" s="17" t="s">
        <v>143</v>
      </c>
      <c r="B78" s="14" t="s">
        <v>72</v>
      </c>
      <c r="C78" s="14" t="s">
        <v>72</v>
      </c>
      <c r="D78" s="14" t="s">
        <v>72</v>
      </c>
      <c r="E78" s="14" t="s">
        <v>72</v>
      </c>
      <c r="F78" s="18" t="s">
        <v>73</v>
      </c>
      <c r="G78" s="17" t="s">
        <v>74</v>
      </c>
      <c r="H78" s="16"/>
      <c r="I78" s="16"/>
      <c r="J78" s="16"/>
      <c r="K78" s="16"/>
      <c r="L78" s="16"/>
      <c r="M78" s="16"/>
      <c r="N78" s="16"/>
    </row>
    <row r="79" customFormat="false" ht="15" hidden="false" customHeight="true" outlineLevel="0" collapsed="false">
      <c r="A79" s="13" t="s">
        <v>144</v>
      </c>
      <c r="B79" s="14" t="s">
        <v>72</v>
      </c>
      <c r="C79" s="14" t="s">
        <v>72</v>
      </c>
      <c r="D79" s="14" t="s">
        <v>72</v>
      </c>
      <c r="E79" s="14" t="s">
        <v>72</v>
      </c>
      <c r="F79" s="15" t="s">
        <v>73</v>
      </c>
      <c r="G79" s="13" t="s">
        <v>74</v>
      </c>
      <c r="H79" s="16"/>
      <c r="I79" s="16"/>
      <c r="J79" s="16"/>
      <c r="K79" s="16"/>
      <c r="L79" s="16"/>
      <c r="M79" s="16"/>
      <c r="N79" s="16"/>
    </row>
    <row r="80" customFormat="false" ht="15" hidden="false" customHeight="true" outlineLevel="0" collapsed="false">
      <c r="A80" s="17" t="s">
        <v>145</v>
      </c>
      <c r="B80" s="14" t="s">
        <v>72</v>
      </c>
      <c r="C80" s="14" t="s">
        <v>72</v>
      </c>
      <c r="D80" s="14" t="s">
        <v>72</v>
      </c>
      <c r="E80" s="14" t="s">
        <v>72</v>
      </c>
      <c r="F80" s="18" t="s">
        <v>73</v>
      </c>
      <c r="G80" s="17" t="s">
        <v>74</v>
      </c>
      <c r="H80" s="16"/>
      <c r="I80" s="16"/>
      <c r="J80" s="16"/>
      <c r="K80" s="16"/>
      <c r="L80" s="16"/>
      <c r="M80" s="16"/>
      <c r="N80" s="16"/>
    </row>
    <row r="81" customFormat="false" ht="3.75" hidden="false" customHeight="true" outlineLevel="0" collapsed="false"/>
    <row r="82" customFormat="false" ht="21.75" hidden="false" customHeight="true" outlineLevel="0" collapsed="false">
      <c r="A82" s="5" t="s">
        <v>146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.75" hidden="false" customHeight="true" outlineLevel="0" collapsed="false">
      <c r="A83" s="7" t="s">
        <v>147</v>
      </c>
      <c r="B83" s="7"/>
      <c r="C83" s="7"/>
      <c r="D83" s="7"/>
      <c r="E83" s="7"/>
      <c r="F83" s="19" t="n">
        <f aca="false">COUNTA(A5:A81)</f>
        <v>68</v>
      </c>
    </row>
    <row r="84" customFormat="false" ht="15.75" hidden="false" customHeight="true" outlineLevel="0" collapsed="false">
      <c r="A84" s="7" t="s">
        <v>148</v>
      </c>
      <c r="B84" s="7"/>
      <c r="C84" s="7"/>
      <c r="D84" s="7"/>
      <c r="E84" s="7"/>
      <c r="F84" s="19" t="n">
        <f aca="false">COUNTIF(B5:B81,"✓")</f>
        <v>0</v>
      </c>
    </row>
    <row r="85" customFormat="false" ht="15.75" hidden="false" customHeight="true" outlineLevel="0" collapsed="false">
      <c r="A85" s="7" t="s">
        <v>149</v>
      </c>
      <c r="B85" s="7"/>
      <c r="C85" s="7"/>
      <c r="D85" s="7"/>
      <c r="E85" s="7"/>
      <c r="F85" s="19" t="n">
        <f aca="false">COUNTIF(C5:C81,"✓")</f>
        <v>0</v>
      </c>
    </row>
    <row r="86" customFormat="false" ht="15.75" hidden="false" customHeight="true" outlineLevel="0" collapsed="false">
      <c r="A86" s="7" t="s">
        <v>150</v>
      </c>
      <c r="B86" s="7"/>
      <c r="C86" s="7"/>
      <c r="D86" s="7"/>
      <c r="E86" s="7"/>
      <c r="F86" s="19" t="n">
        <f aca="false">COUNTIF(D5:D81,"✓")</f>
        <v>0</v>
      </c>
    </row>
    <row r="87" customFormat="false" ht="15.75" hidden="false" customHeight="true" outlineLevel="0" collapsed="false">
      <c r="A87" s="7" t="s">
        <v>151</v>
      </c>
      <c r="B87" s="7"/>
      <c r="C87" s="7"/>
      <c r="D87" s="7"/>
      <c r="E87" s="7"/>
      <c r="F87" s="19" t="n">
        <f aca="false">COUNTIF(E5:E81,"✓")</f>
        <v>0</v>
      </c>
    </row>
    <row r="89" customFormat="false" ht="4.5" hidden="false" customHeight="true" outlineLevel="0" collapsed="false"/>
    <row r="90" customFormat="false" ht="18" hidden="false" customHeight="true" outlineLevel="0" collapsed="false">
      <c r="A90" s="9" t="s">
        <v>53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</sheetData>
  <mergeCells count="20">
    <mergeCell ref="A1:G1"/>
    <mergeCell ref="H1:N1"/>
    <mergeCell ref="A2:N2"/>
    <mergeCell ref="A3:N3"/>
    <mergeCell ref="A5:N5"/>
    <mergeCell ref="A13:N13"/>
    <mergeCell ref="A23:N23"/>
    <mergeCell ref="A32:N32"/>
    <mergeCell ref="A42:N42"/>
    <mergeCell ref="A49:N49"/>
    <mergeCell ref="A59:N59"/>
    <mergeCell ref="A66:N66"/>
    <mergeCell ref="A74:N74"/>
    <mergeCell ref="A82:N82"/>
    <mergeCell ref="A83:E83"/>
    <mergeCell ref="A84:E84"/>
    <mergeCell ref="A85:E85"/>
    <mergeCell ref="A86:E86"/>
    <mergeCell ref="A87:E87"/>
    <mergeCell ref="A90:N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152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7" t="s">
        <v>153</v>
      </c>
      <c r="B3" s="7"/>
      <c r="C3" s="7"/>
      <c r="D3" s="8"/>
      <c r="E3" s="7" t="s">
        <v>8</v>
      </c>
      <c r="F3" s="7"/>
      <c r="G3" s="7"/>
      <c r="H3" s="8"/>
      <c r="I3" s="7" t="s">
        <v>154</v>
      </c>
      <c r="J3" s="7"/>
    </row>
    <row r="4" customFormat="false" ht="15" hidden="false" customHeight="true" outlineLevel="0" collapsed="false">
      <c r="A4" s="7" t="s">
        <v>155</v>
      </c>
      <c r="B4" s="7"/>
      <c r="C4" s="7"/>
      <c r="D4" s="8"/>
      <c r="E4" s="7" t="s">
        <v>11</v>
      </c>
      <c r="F4" s="7"/>
      <c r="G4" s="7"/>
      <c r="H4" s="8"/>
      <c r="I4" s="7" t="s">
        <v>9</v>
      </c>
      <c r="J4" s="7"/>
    </row>
    <row r="5" customFormat="false" ht="15" hidden="false" customHeight="true" outlineLevel="0" collapsed="false">
      <c r="A5" s="7" t="s">
        <v>17</v>
      </c>
      <c r="B5" s="7"/>
      <c r="C5" s="7"/>
      <c r="D5" s="8"/>
      <c r="E5" s="7" t="s">
        <v>156</v>
      </c>
      <c r="F5" s="7"/>
      <c r="G5" s="7"/>
      <c r="H5" s="8"/>
      <c r="I5" s="7" t="s">
        <v>10</v>
      </c>
      <c r="J5" s="7"/>
    </row>
    <row r="6" customFormat="false" ht="4.5" hidden="false" customHeight="true" outlineLevel="0" collapsed="false"/>
    <row r="7" customFormat="false" ht="18" hidden="false" customHeight="true" outlineLevel="0" collapsed="false">
      <c r="A7" s="11" t="s">
        <v>157</v>
      </c>
      <c r="B7" s="11" t="s">
        <v>158</v>
      </c>
      <c r="C7" s="11" t="s">
        <v>159</v>
      </c>
      <c r="D7" s="11" t="s">
        <v>160</v>
      </c>
      <c r="E7" s="11" t="s">
        <v>161</v>
      </c>
      <c r="F7" s="11" t="s">
        <v>162</v>
      </c>
    </row>
    <row r="8" customFormat="false" ht="16.5" hidden="false" customHeight="true" outlineLevel="0" collapsed="false">
      <c r="A8" s="12" t="s">
        <v>163</v>
      </c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true" outlineLevel="0" collapsed="false">
      <c r="A9" s="17" t="s">
        <v>164</v>
      </c>
      <c r="B9" s="20" t="s">
        <v>165</v>
      </c>
      <c r="C9" s="20" t="s">
        <v>165</v>
      </c>
      <c r="D9" s="20" t="s">
        <v>165</v>
      </c>
      <c r="E9" s="18"/>
      <c r="F9" s="17"/>
    </row>
    <row r="10" customFormat="false" ht="15" hidden="false" customHeight="true" outlineLevel="0" collapsed="false">
      <c r="A10" s="13" t="s">
        <v>166</v>
      </c>
      <c r="B10" s="20" t="s">
        <v>165</v>
      </c>
      <c r="C10" s="20" t="s">
        <v>165</v>
      </c>
      <c r="D10" s="20" t="s">
        <v>165</v>
      </c>
      <c r="E10" s="15"/>
      <c r="F10" s="13"/>
    </row>
    <row r="11" customFormat="false" ht="15" hidden="false" customHeight="true" outlineLevel="0" collapsed="false">
      <c r="A11" s="17" t="s">
        <v>167</v>
      </c>
      <c r="B11" s="20" t="s">
        <v>165</v>
      </c>
      <c r="C11" s="20" t="s">
        <v>165</v>
      </c>
      <c r="D11" s="20" t="s">
        <v>165</v>
      </c>
      <c r="E11" s="18"/>
      <c r="F11" s="17"/>
    </row>
    <row r="12" customFormat="false" ht="15" hidden="false" customHeight="true" outlineLevel="0" collapsed="false">
      <c r="A12" s="13" t="s">
        <v>168</v>
      </c>
      <c r="B12" s="20" t="s">
        <v>165</v>
      </c>
      <c r="C12" s="20" t="s">
        <v>165</v>
      </c>
      <c r="D12" s="20" t="s">
        <v>165</v>
      </c>
      <c r="E12" s="15"/>
      <c r="F12" s="13"/>
    </row>
    <row r="13" customFormat="false" ht="15" hidden="false" customHeight="true" outlineLevel="0" collapsed="false">
      <c r="A13" s="17" t="s">
        <v>76</v>
      </c>
      <c r="B13" s="20" t="s">
        <v>165</v>
      </c>
      <c r="C13" s="20" t="s">
        <v>165</v>
      </c>
      <c r="D13" s="20" t="s">
        <v>165</v>
      </c>
      <c r="E13" s="18"/>
      <c r="F13" s="17"/>
    </row>
    <row r="14" customFormat="false" ht="15" hidden="false" customHeight="true" outlineLevel="0" collapsed="false">
      <c r="A14" s="13" t="s">
        <v>169</v>
      </c>
      <c r="B14" s="20" t="s">
        <v>165</v>
      </c>
      <c r="C14" s="20" t="s">
        <v>165</v>
      </c>
      <c r="D14" s="20" t="s">
        <v>165</v>
      </c>
      <c r="E14" s="15"/>
      <c r="F14" s="13"/>
    </row>
    <row r="15" customFormat="false" ht="15" hidden="false" customHeight="true" outlineLevel="0" collapsed="false">
      <c r="A15" s="17" t="s">
        <v>170</v>
      </c>
      <c r="B15" s="20" t="s">
        <v>165</v>
      </c>
      <c r="C15" s="20" t="s">
        <v>165</v>
      </c>
      <c r="D15" s="20" t="s">
        <v>165</v>
      </c>
      <c r="E15" s="18"/>
      <c r="F15" s="17"/>
    </row>
    <row r="16" customFormat="false" ht="3.75" hidden="false" customHeight="true" outlineLevel="0" collapsed="false"/>
    <row r="17" customFormat="false" ht="16.5" hidden="false" customHeight="true" outlineLevel="0" collapsed="false">
      <c r="A17" s="12" t="s">
        <v>171</v>
      </c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true" outlineLevel="0" collapsed="false">
      <c r="A18" s="17" t="s">
        <v>172</v>
      </c>
      <c r="B18" s="20" t="s">
        <v>165</v>
      </c>
      <c r="C18" s="20" t="s">
        <v>165</v>
      </c>
      <c r="D18" s="20" t="s">
        <v>165</v>
      </c>
      <c r="E18" s="18"/>
      <c r="F18" s="17"/>
    </row>
    <row r="19" customFormat="false" ht="15" hidden="false" customHeight="true" outlineLevel="0" collapsed="false">
      <c r="A19" s="13" t="s">
        <v>173</v>
      </c>
      <c r="B19" s="20" t="s">
        <v>165</v>
      </c>
      <c r="C19" s="20" t="s">
        <v>165</v>
      </c>
      <c r="D19" s="20" t="s">
        <v>165</v>
      </c>
      <c r="E19" s="15"/>
      <c r="F19" s="13"/>
    </row>
    <row r="20" customFormat="false" ht="15" hidden="false" customHeight="true" outlineLevel="0" collapsed="false">
      <c r="A20" s="17" t="s">
        <v>174</v>
      </c>
      <c r="B20" s="20" t="s">
        <v>165</v>
      </c>
      <c r="C20" s="20" t="s">
        <v>165</v>
      </c>
      <c r="D20" s="20" t="s">
        <v>165</v>
      </c>
      <c r="E20" s="18"/>
      <c r="F20" s="17"/>
    </row>
    <row r="21" customFormat="false" ht="15" hidden="false" customHeight="true" outlineLevel="0" collapsed="false">
      <c r="A21" s="13" t="s">
        <v>175</v>
      </c>
      <c r="B21" s="20" t="s">
        <v>165</v>
      </c>
      <c r="C21" s="20" t="s">
        <v>165</v>
      </c>
      <c r="D21" s="20" t="s">
        <v>165</v>
      </c>
      <c r="E21" s="15"/>
      <c r="F21" s="13"/>
    </row>
    <row r="22" customFormat="false" ht="15" hidden="false" customHeight="true" outlineLevel="0" collapsed="false">
      <c r="A22" s="17" t="s">
        <v>176</v>
      </c>
      <c r="B22" s="20" t="s">
        <v>165</v>
      </c>
      <c r="C22" s="20" t="s">
        <v>165</v>
      </c>
      <c r="D22" s="20" t="s">
        <v>165</v>
      </c>
      <c r="E22" s="18"/>
      <c r="F22" s="17"/>
    </row>
    <row r="23" customFormat="false" ht="15" hidden="false" customHeight="true" outlineLevel="0" collapsed="false">
      <c r="A23" s="13" t="s">
        <v>177</v>
      </c>
      <c r="B23" s="20" t="s">
        <v>165</v>
      </c>
      <c r="C23" s="20" t="s">
        <v>165</v>
      </c>
      <c r="D23" s="20" t="s">
        <v>165</v>
      </c>
      <c r="E23" s="15"/>
      <c r="F23" s="13"/>
    </row>
    <row r="24" customFormat="false" ht="15" hidden="false" customHeight="true" outlineLevel="0" collapsed="false">
      <c r="A24" s="17" t="s">
        <v>178</v>
      </c>
      <c r="B24" s="20" t="s">
        <v>165</v>
      </c>
      <c r="C24" s="20" t="s">
        <v>165</v>
      </c>
      <c r="D24" s="20" t="s">
        <v>165</v>
      </c>
      <c r="E24" s="18"/>
      <c r="F24" s="17"/>
    </row>
    <row r="25" customFormat="false" ht="15" hidden="false" customHeight="true" outlineLevel="0" collapsed="false">
      <c r="A25" s="13" t="s">
        <v>179</v>
      </c>
      <c r="B25" s="20" t="s">
        <v>165</v>
      </c>
      <c r="C25" s="20" t="s">
        <v>165</v>
      </c>
      <c r="D25" s="20" t="s">
        <v>165</v>
      </c>
      <c r="E25" s="15"/>
      <c r="F25" s="13"/>
    </row>
    <row r="26" customFormat="false" ht="3.75" hidden="false" customHeight="true" outlineLevel="0" collapsed="false"/>
    <row r="27" customFormat="false" ht="16.5" hidden="false" customHeight="true" outlineLevel="0" collapsed="false">
      <c r="A27" s="12" t="s">
        <v>180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true" outlineLevel="0" collapsed="false">
      <c r="A28" s="17" t="s">
        <v>181</v>
      </c>
      <c r="B28" s="20" t="s">
        <v>165</v>
      </c>
      <c r="C28" s="20" t="s">
        <v>165</v>
      </c>
      <c r="D28" s="20" t="s">
        <v>165</v>
      </c>
      <c r="E28" s="18"/>
      <c r="F28" s="17"/>
    </row>
    <row r="29" customFormat="false" ht="15" hidden="false" customHeight="true" outlineLevel="0" collapsed="false">
      <c r="A29" s="13" t="s">
        <v>182</v>
      </c>
      <c r="B29" s="20" t="s">
        <v>165</v>
      </c>
      <c r="C29" s="20" t="s">
        <v>165</v>
      </c>
      <c r="D29" s="20" t="s">
        <v>165</v>
      </c>
      <c r="E29" s="15"/>
      <c r="F29" s="13"/>
    </row>
    <row r="30" customFormat="false" ht="15" hidden="false" customHeight="true" outlineLevel="0" collapsed="false">
      <c r="A30" s="17" t="s">
        <v>183</v>
      </c>
      <c r="B30" s="20" t="s">
        <v>165</v>
      </c>
      <c r="C30" s="20" t="s">
        <v>165</v>
      </c>
      <c r="D30" s="20" t="s">
        <v>165</v>
      </c>
      <c r="E30" s="18"/>
      <c r="F30" s="17"/>
    </row>
    <row r="31" customFormat="false" ht="15" hidden="false" customHeight="true" outlineLevel="0" collapsed="false">
      <c r="A31" s="13" t="s">
        <v>184</v>
      </c>
      <c r="B31" s="20" t="s">
        <v>165</v>
      </c>
      <c r="C31" s="20" t="s">
        <v>165</v>
      </c>
      <c r="D31" s="20" t="s">
        <v>165</v>
      </c>
      <c r="E31" s="15"/>
      <c r="F31" s="13"/>
    </row>
    <row r="32" customFormat="false" ht="15" hidden="false" customHeight="true" outlineLevel="0" collapsed="false">
      <c r="A32" s="17" t="s">
        <v>185</v>
      </c>
      <c r="B32" s="20" t="s">
        <v>165</v>
      </c>
      <c r="C32" s="20" t="s">
        <v>165</v>
      </c>
      <c r="D32" s="20" t="s">
        <v>165</v>
      </c>
      <c r="E32" s="18"/>
      <c r="F32" s="17"/>
    </row>
    <row r="33" customFormat="false" ht="3.75" hidden="false" customHeight="true" outlineLevel="0" collapsed="false"/>
    <row r="34" customFormat="false" ht="16.5" hidden="false" customHeight="true" outlineLevel="0" collapsed="false">
      <c r="A34" s="12" t="s">
        <v>92</v>
      </c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true" outlineLevel="0" collapsed="false">
      <c r="A35" s="17" t="s">
        <v>186</v>
      </c>
      <c r="B35" s="20" t="s">
        <v>165</v>
      </c>
      <c r="C35" s="20" t="s">
        <v>165</v>
      </c>
      <c r="D35" s="20" t="s">
        <v>165</v>
      </c>
      <c r="E35" s="18"/>
      <c r="F35" s="17"/>
    </row>
    <row r="36" customFormat="false" ht="15" hidden="false" customHeight="true" outlineLevel="0" collapsed="false">
      <c r="A36" s="13" t="s">
        <v>187</v>
      </c>
      <c r="B36" s="20" t="s">
        <v>165</v>
      </c>
      <c r="C36" s="20" t="s">
        <v>165</v>
      </c>
      <c r="D36" s="20" t="s">
        <v>165</v>
      </c>
      <c r="E36" s="15"/>
      <c r="F36" s="13"/>
    </row>
    <row r="37" customFormat="false" ht="15" hidden="false" customHeight="true" outlineLevel="0" collapsed="false">
      <c r="A37" s="17" t="s">
        <v>188</v>
      </c>
      <c r="B37" s="20" t="s">
        <v>165</v>
      </c>
      <c r="C37" s="20" t="s">
        <v>165</v>
      </c>
      <c r="D37" s="20" t="s">
        <v>165</v>
      </c>
      <c r="E37" s="18"/>
      <c r="F37" s="17"/>
    </row>
    <row r="38" customFormat="false" ht="15" hidden="false" customHeight="true" outlineLevel="0" collapsed="false">
      <c r="A38" s="13" t="s">
        <v>189</v>
      </c>
      <c r="B38" s="20" t="s">
        <v>165</v>
      </c>
      <c r="C38" s="20" t="s">
        <v>165</v>
      </c>
      <c r="D38" s="20" t="s">
        <v>165</v>
      </c>
      <c r="E38" s="15"/>
      <c r="F38" s="13"/>
    </row>
    <row r="39" customFormat="false" ht="15" hidden="false" customHeight="true" outlineLevel="0" collapsed="false">
      <c r="A39" s="17" t="s">
        <v>190</v>
      </c>
      <c r="B39" s="20" t="s">
        <v>165</v>
      </c>
      <c r="C39" s="20" t="s">
        <v>165</v>
      </c>
      <c r="D39" s="20" t="s">
        <v>165</v>
      </c>
      <c r="E39" s="18"/>
      <c r="F39" s="17"/>
    </row>
    <row r="40" customFormat="false" ht="15" hidden="false" customHeight="true" outlineLevel="0" collapsed="false">
      <c r="A40" s="13" t="s">
        <v>191</v>
      </c>
      <c r="B40" s="20" t="s">
        <v>165</v>
      </c>
      <c r="C40" s="20" t="s">
        <v>165</v>
      </c>
      <c r="D40" s="20" t="s">
        <v>165</v>
      </c>
      <c r="E40" s="15"/>
      <c r="F40" s="13"/>
    </row>
    <row r="41" customFormat="false" ht="15" hidden="false" customHeight="true" outlineLevel="0" collapsed="false">
      <c r="A41" s="17" t="s">
        <v>192</v>
      </c>
      <c r="B41" s="20" t="s">
        <v>165</v>
      </c>
      <c r="C41" s="20" t="s">
        <v>165</v>
      </c>
      <c r="D41" s="20" t="s">
        <v>165</v>
      </c>
      <c r="E41" s="18"/>
      <c r="F41" s="17"/>
    </row>
    <row r="42" customFormat="false" ht="3.75" hidden="false" customHeight="true" outlineLevel="0" collapsed="false"/>
    <row r="43" customFormat="false" ht="16.5" hidden="false" customHeight="true" outlineLevel="0" collapsed="false">
      <c r="A43" s="12" t="s">
        <v>193</v>
      </c>
      <c r="B43" s="12"/>
      <c r="C43" s="12"/>
      <c r="D43" s="12"/>
      <c r="E43" s="12"/>
      <c r="F43" s="12"/>
      <c r="G43" s="12"/>
      <c r="H43" s="12"/>
      <c r="I43" s="12"/>
      <c r="J43" s="12"/>
    </row>
    <row r="44" customFormat="false" ht="15" hidden="false" customHeight="true" outlineLevel="0" collapsed="false">
      <c r="A44" s="17" t="s">
        <v>194</v>
      </c>
      <c r="B44" s="20" t="s">
        <v>165</v>
      </c>
      <c r="C44" s="20" t="s">
        <v>165</v>
      </c>
      <c r="D44" s="20" t="s">
        <v>165</v>
      </c>
      <c r="E44" s="18"/>
      <c r="F44" s="17"/>
    </row>
    <row r="45" customFormat="false" ht="15" hidden="false" customHeight="true" outlineLevel="0" collapsed="false">
      <c r="A45" s="13" t="s">
        <v>195</v>
      </c>
      <c r="B45" s="20" t="s">
        <v>165</v>
      </c>
      <c r="C45" s="20" t="s">
        <v>165</v>
      </c>
      <c r="D45" s="20" t="s">
        <v>165</v>
      </c>
      <c r="E45" s="15"/>
      <c r="F45" s="13"/>
    </row>
    <row r="46" customFormat="false" ht="15" hidden="false" customHeight="true" outlineLevel="0" collapsed="false">
      <c r="A46" s="17" t="s">
        <v>196</v>
      </c>
      <c r="B46" s="20" t="s">
        <v>165</v>
      </c>
      <c r="C46" s="20" t="s">
        <v>165</v>
      </c>
      <c r="D46" s="20" t="s">
        <v>165</v>
      </c>
      <c r="E46" s="18"/>
      <c r="F46" s="17"/>
    </row>
    <row r="47" customFormat="false" ht="15" hidden="false" customHeight="true" outlineLevel="0" collapsed="false">
      <c r="A47" s="13" t="s">
        <v>197</v>
      </c>
      <c r="B47" s="20" t="s">
        <v>165</v>
      </c>
      <c r="C47" s="20" t="s">
        <v>165</v>
      </c>
      <c r="D47" s="20" t="s">
        <v>165</v>
      </c>
      <c r="E47" s="15"/>
      <c r="F47" s="13"/>
    </row>
    <row r="48" customFormat="false" ht="15" hidden="false" customHeight="true" outlineLevel="0" collapsed="false">
      <c r="A48" s="17" t="s">
        <v>198</v>
      </c>
      <c r="B48" s="20" t="s">
        <v>165</v>
      </c>
      <c r="C48" s="20" t="s">
        <v>165</v>
      </c>
      <c r="D48" s="20" t="s">
        <v>165</v>
      </c>
      <c r="E48" s="18"/>
      <c r="F48" s="17"/>
    </row>
    <row r="49" customFormat="false" ht="15" hidden="false" customHeight="true" outlineLevel="0" collapsed="false">
      <c r="A49" s="13" t="s">
        <v>199</v>
      </c>
      <c r="B49" s="20" t="s">
        <v>165</v>
      </c>
      <c r="C49" s="20" t="s">
        <v>165</v>
      </c>
      <c r="D49" s="20" t="s">
        <v>165</v>
      </c>
      <c r="E49" s="15"/>
      <c r="F49" s="13"/>
    </row>
    <row r="50" customFormat="false" ht="15" hidden="false" customHeight="true" outlineLevel="0" collapsed="false">
      <c r="A50" s="17" t="s">
        <v>105</v>
      </c>
      <c r="B50" s="20" t="s">
        <v>165</v>
      </c>
      <c r="C50" s="20" t="s">
        <v>165</v>
      </c>
      <c r="D50" s="20" t="s">
        <v>165</v>
      </c>
      <c r="E50" s="18"/>
      <c r="F50" s="17"/>
    </row>
    <row r="51" customFormat="false" ht="15" hidden="false" customHeight="true" outlineLevel="0" collapsed="false">
      <c r="A51" s="13" t="s">
        <v>200</v>
      </c>
      <c r="B51" s="20" t="s">
        <v>165</v>
      </c>
      <c r="C51" s="20" t="s">
        <v>165</v>
      </c>
      <c r="D51" s="20" t="s">
        <v>165</v>
      </c>
      <c r="E51" s="15"/>
      <c r="F51" s="13"/>
    </row>
    <row r="52" customFormat="false" ht="15" hidden="false" customHeight="true" outlineLevel="0" collapsed="false">
      <c r="A52" s="17" t="s">
        <v>201</v>
      </c>
      <c r="B52" s="20" t="s">
        <v>165</v>
      </c>
      <c r="C52" s="20" t="s">
        <v>165</v>
      </c>
      <c r="D52" s="20" t="s">
        <v>165</v>
      </c>
      <c r="E52" s="18"/>
      <c r="F52" s="17"/>
    </row>
    <row r="53" customFormat="false" ht="3.75" hidden="false" customHeight="true" outlineLevel="0" collapsed="false"/>
    <row r="54" customFormat="false" ht="16.5" hidden="false" customHeight="true" outlineLevel="0" collapsed="false">
      <c r="A54" s="12" t="s">
        <v>110</v>
      </c>
      <c r="B54" s="12"/>
      <c r="C54" s="12"/>
      <c r="D54" s="12"/>
      <c r="E54" s="12"/>
      <c r="F54" s="12"/>
      <c r="G54" s="12"/>
      <c r="H54" s="12"/>
      <c r="I54" s="12"/>
      <c r="J54" s="12"/>
    </row>
    <row r="55" customFormat="false" ht="15" hidden="false" customHeight="true" outlineLevel="0" collapsed="false">
      <c r="A55" s="17" t="s">
        <v>111</v>
      </c>
      <c r="B55" s="20" t="s">
        <v>165</v>
      </c>
      <c r="C55" s="20" t="s">
        <v>165</v>
      </c>
      <c r="D55" s="20" t="s">
        <v>165</v>
      </c>
      <c r="E55" s="18"/>
      <c r="F55" s="17"/>
    </row>
    <row r="56" customFormat="false" ht="15" hidden="false" customHeight="true" outlineLevel="0" collapsed="false">
      <c r="A56" s="13" t="s">
        <v>112</v>
      </c>
      <c r="B56" s="20" t="s">
        <v>165</v>
      </c>
      <c r="C56" s="20" t="s">
        <v>165</v>
      </c>
      <c r="D56" s="20" t="s">
        <v>165</v>
      </c>
      <c r="E56" s="15"/>
      <c r="F56" s="13"/>
    </row>
    <row r="57" customFormat="false" ht="15" hidden="false" customHeight="true" outlineLevel="0" collapsed="false">
      <c r="A57" s="17" t="s">
        <v>113</v>
      </c>
      <c r="B57" s="20" t="s">
        <v>165</v>
      </c>
      <c r="C57" s="20" t="s">
        <v>165</v>
      </c>
      <c r="D57" s="20" t="s">
        <v>165</v>
      </c>
      <c r="E57" s="18"/>
      <c r="F57" s="17"/>
    </row>
    <row r="58" customFormat="false" ht="15" hidden="false" customHeight="true" outlineLevel="0" collapsed="false">
      <c r="A58" s="13" t="s">
        <v>202</v>
      </c>
      <c r="B58" s="20" t="s">
        <v>165</v>
      </c>
      <c r="C58" s="20" t="s">
        <v>165</v>
      </c>
      <c r="D58" s="20" t="s">
        <v>165</v>
      </c>
      <c r="E58" s="15"/>
      <c r="F58" s="13"/>
    </row>
    <row r="59" customFormat="false" ht="3.75" hidden="false" customHeight="true" outlineLevel="0" collapsed="false"/>
    <row r="60" customFormat="false" ht="16.5" hidden="false" customHeight="true" outlineLevel="0" collapsed="false">
      <c r="A60" s="12" t="s">
        <v>203</v>
      </c>
      <c r="B60" s="12"/>
      <c r="C60" s="12"/>
      <c r="D60" s="12"/>
      <c r="E60" s="12"/>
      <c r="F60" s="12"/>
      <c r="G60" s="12"/>
      <c r="H60" s="12"/>
      <c r="I60" s="12"/>
      <c r="J60" s="12"/>
    </row>
    <row r="61" customFormat="false" ht="15" hidden="false" customHeight="true" outlineLevel="0" collapsed="false">
      <c r="A61" s="17" t="s">
        <v>204</v>
      </c>
      <c r="B61" s="20" t="s">
        <v>165</v>
      </c>
      <c r="C61" s="20" t="s">
        <v>165</v>
      </c>
      <c r="D61" s="20" t="s">
        <v>165</v>
      </c>
      <c r="E61" s="18"/>
      <c r="F61" s="17"/>
    </row>
    <row r="62" customFormat="false" ht="15" hidden="false" customHeight="true" outlineLevel="0" collapsed="false">
      <c r="A62" s="13" t="s">
        <v>205</v>
      </c>
      <c r="B62" s="20" t="s">
        <v>165</v>
      </c>
      <c r="C62" s="20" t="s">
        <v>165</v>
      </c>
      <c r="D62" s="20" t="s">
        <v>165</v>
      </c>
      <c r="E62" s="15"/>
      <c r="F62" s="13"/>
    </row>
    <row r="63" customFormat="false" ht="15" hidden="false" customHeight="true" outlineLevel="0" collapsed="false">
      <c r="A63" s="17" t="s">
        <v>206</v>
      </c>
      <c r="B63" s="20" t="s">
        <v>165</v>
      </c>
      <c r="C63" s="20" t="s">
        <v>165</v>
      </c>
      <c r="D63" s="20" t="s">
        <v>165</v>
      </c>
      <c r="E63" s="18"/>
      <c r="F63" s="17"/>
    </row>
    <row r="64" customFormat="false" ht="15" hidden="false" customHeight="true" outlineLevel="0" collapsed="false">
      <c r="A64" s="13" t="s">
        <v>207</v>
      </c>
      <c r="B64" s="20" t="s">
        <v>165</v>
      </c>
      <c r="C64" s="20" t="s">
        <v>165</v>
      </c>
      <c r="D64" s="20" t="s">
        <v>165</v>
      </c>
      <c r="E64" s="15"/>
      <c r="F64" s="13"/>
    </row>
    <row r="65" customFormat="false" ht="15" hidden="false" customHeight="true" outlineLevel="0" collapsed="false">
      <c r="A65" s="17" t="s">
        <v>208</v>
      </c>
      <c r="B65" s="20" t="s">
        <v>165</v>
      </c>
      <c r="C65" s="20" t="s">
        <v>165</v>
      </c>
      <c r="D65" s="20" t="s">
        <v>165</v>
      </c>
      <c r="E65" s="18"/>
      <c r="F65" s="17"/>
    </row>
    <row r="66" customFormat="false" ht="15" hidden="false" customHeight="true" outlineLevel="0" collapsed="false">
      <c r="A66" s="13" t="s">
        <v>209</v>
      </c>
      <c r="B66" s="20" t="s">
        <v>165</v>
      </c>
      <c r="C66" s="20" t="s">
        <v>165</v>
      </c>
      <c r="D66" s="20" t="s">
        <v>165</v>
      </c>
      <c r="E66" s="15"/>
      <c r="F66" s="13"/>
    </row>
    <row r="67" customFormat="false" ht="15" hidden="false" customHeight="true" outlineLevel="0" collapsed="false">
      <c r="A67" s="17" t="s">
        <v>210</v>
      </c>
      <c r="B67" s="20" t="s">
        <v>165</v>
      </c>
      <c r="C67" s="20" t="s">
        <v>165</v>
      </c>
      <c r="D67" s="20" t="s">
        <v>165</v>
      </c>
      <c r="E67" s="18"/>
      <c r="F67" s="17"/>
    </row>
    <row r="68" customFormat="false" ht="3.75" hidden="false" customHeight="true" outlineLevel="0" collapsed="false"/>
    <row r="69" customFormat="false" ht="16.5" hidden="false" customHeight="true" outlineLevel="0" collapsed="false">
      <c r="A69" s="12" t="s">
        <v>211</v>
      </c>
      <c r="B69" s="12"/>
      <c r="C69" s="12"/>
      <c r="D69" s="12"/>
      <c r="E69" s="12"/>
      <c r="F69" s="12"/>
      <c r="G69" s="12"/>
      <c r="H69" s="12"/>
      <c r="I69" s="12"/>
      <c r="J69" s="12"/>
    </row>
    <row r="70" customFormat="false" ht="15" hidden="false" customHeight="true" outlineLevel="0" collapsed="false">
      <c r="A70" s="17" t="s">
        <v>212</v>
      </c>
      <c r="B70" s="20" t="s">
        <v>165</v>
      </c>
      <c r="C70" s="20" t="s">
        <v>165</v>
      </c>
      <c r="D70" s="20" t="s">
        <v>165</v>
      </c>
      <c r="E70" s="18"/>
      <c r="F70" s="17"/>
    </row>
    <row r="71" customFormat="false" ht="15" hidden="false" customHeight="true" outlineLevel="0" collapsed="false">
      <c r="A71" s="13" t="s">
        <v>213</v>
      </c>
      <c r="B71" s="20" t="s">
        <v>165</v>
      </c>
      <c r="C71" s="20" t="s">
        <v>165</v>
      </c>
      <c r="D71" s="20" t="s">
        <v>165</v>
      </c>
      <c r="E71" s="15"/>
      <c r="F71" s="13"/>
    </row>
    <row r="72" customFormat="false" ht="15" hidden="false" customHeight="true" outlineLevel="0" collapsed="false">
      <c r="A72" s="17" t="s">
        <v>214</v>
      </c>
      <c r="B72" s="20" t="s">
        <v>165</v>
      </c>
      <c r="C72" s="20" t="s">
        <v>165</v>
      </c>
      <c r="D72" s="20" t="s">
        <v>165</v>
      </c>
      <c r="E72" s="18"/>
      <c r="F72" s="17"/>
    </row>
    <row r="73" customFormat="false" ht="15" hidden="false" customHeight="true" outlineLevel="0" collapsed="false">
      <c r="A73" s="13" t="s">
        <v>215</v>
      </c>
      <c r="B73" s="20" t="s">
        <v>165</v>
      </c>
      <c r="C73" s="20" t="s">
        <v>165</v>
      </c>
      <c r="D73" s="20" t="s">
        <v>165</v>
      </c>
      <c r="E73" s="15"/>
      <c r="F73" s="13"/>
    </row>
    <row r="74" customFormat="false" ht="15" hidden="false" customHeight="true" outlineLevel="0" collapsed="false">
      <c r="A74" s="17" t="s">
        <v>216</v>
      </c>
      <c r="B74" s="20" t="s">
        <v>165</v>
      </c>
      <c r="C74" s="20" t="s">
        <v>165</v>
      </c>
      <c r="D74" s="20" t="s">
        <v>165</v>
      </c>
      <c r="E74" s="18"/>
      <c r="F74" s="17"/>
    </row>
    <row r="75" customFormat="false" ht="15" hidden="false" customHeight="true" outlineLevel="0" collapsed="false">
      <c r="A75" s="13" t="s">
        <v>217</v>
      </c>
      <c r="B75" s="20" t="s">
        <v>165</v>
      </c>
      <c r="C75" s="20" t="s">
        <v>165</v>
      </c>
      <c r="D75" s="20" t="s">
        <v>165</v>
      </c>
      <c r="E75" s="15"/>
      <c r="F75" s="13"/>
    </row>
    <row r="76" customFormat="false" ht="15" hidden="false" customHeight="true" outlineLevel="0" collapsed="false">
      <c r="A76" s="17" t="s">
        <v>218</v>
      </c>
      <c r="B76" s="20" t="s">
        <v>165</v>
      </c>
      <c r="C76" s="20" t="s">
        <v>165</v>
      </c>
      <c r="D76" s="20" t="s">
        <v>165</v>
      </c>
      <c r="E76" s="18"/>
      <c r="F76" s="17"/>
    </row>
    <row r="77" customFormat="false" ht="3.75" hidden="false" customHeight="true" outlineLevel="0" collapsed="false"/>
    <row r="78" customFormat="false" ht="21.75" hidden="false" customHeight="true" outlineLevel="0" collapsed="false">
      <c r="A78" s="5" t="s">
        <v>219</v>
      </c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.75" hidden="false" customHeight="true" outlineLevel="0" collapsed="false">
      <c r="A79" s="7" t="s">
        <v>220</v>
      </c>
      <c r="B79" s="7"/>
      <c r="C79" s="7"/>
      <c r="D79" s="7"/>
      <c r="E79" s="19"/>
    </row>
    <row r="80" customFormat="false" ht="15.75" hidden="false" customHeight="true" outlineLevel="0" collapsed="false">
      <c r="A80" s="7" t="s">
        <v>221</v>
      </c>
      <c r="B80" s="7"/>
      <c r="C80" s="7"/>
      <c r="D80" s="7"/>
      <c r="E80" s="19"/>
    </row>
    <row r="81" customFormat="false" ht="15.75" hidden="false" customHeight="true" outlineLevel="0" collapsed="false">
      <c r="A81" s="7" t="s">
        <v>222</v>
      </c>
      <c r="B81" s="7"/>
      <c r="C81" s="7"/>
      <c r="D81" s="7"/>
      <c r="E81" s="19"/>
    </row>
    <row r="82" customFormat="false" ht="15.75" hidden="false" customHeight="true" outlineLevel="0" collapsed="false">
      <c r="A82" s="7" t="s">
        <v>223</v>
      </c>
      <c r="B82" s="7"/>
      <c r="C82" s="7"/>
      <c r="D82" s="7"/>
      <c r="E82" s="19"/>
    </row>
    <row r="83" customFormat="false" ht="4.5" hidden="false" customHeight="true" outlineLevel="0" collapsed="false"/>
    <row r="84" customFormat="false" ht="16.5" hidden="false" customHeight="true" outlineLevel="0" collapsed="false">
      <c r="A84" s="12" t="s">
        <v>224</v>
      </c>
      <c r="B84" s="12"/>
      <c r="C84" s="12"/>
      <c r="D84" s="12"/>
      <c r="E84" s="12"/>
      <c r="F84" s="12"/>
      <c r="G84" s="12"/>
      <c r="H84" s="12"/>
      <c r="I84" s="12"/>
      <c r="J84" s="12"/>
    </row>
    <row r="85" customFormat="false" ht="19.5" hidden="false" customHeight="true" outlineLevel="0" collapsed="false">
      <c r="A85" s="7" t="s">
        <v>225</v>
      </c>
      <c r="B85" s="7"/>
      <c r="C85" s="7"/>
      <c r="D85" s="7"/>
      <c r="E85" s="21"/>
      <c r="F85" s="21"/>
      <c r="G85" s="21"/>
      <c r="H85" s="21"/>
      <c r="I85" s="21"/>
      <c r="J85" s="21"/>
    </row>
    <row r="86" customFormat="false" ht="19.5" hidden="false" customHeight="true" outlineLevel="0" collapsed="false">
      <c r="A86" s="7" t="s">
        <v>226</v>
      </c>
      <c r="B86" s="7"/>
      <c r="C86" s="7"/>
      <c r="D86" s="7"/>
      <c r="E86" s="21"/>
      <c r="F86" s="21"/>
      <c r="G86" s="21"/>
      <c r="H86" s="21"/>
      <c r="I86" s="21"/>
      <c r="J86" s="21"/>
    </row>
    <row r="87" customFormat="false" ht="19.5" hidden="false" customHeight="true" outlineLevel="0" collapsed="false">
      <c r="A87" s="7" t="s">
        <v>227</v>
      </c>
      <c r="B87" s="7"/>
      <c r="C87" s="7"/>
      <c r="D87" s="7"/>
      <c r="E87" s="21"/>
      <c r="F87" s="21"/>
      <c r="G87" s="21"/>
      <c r="H87" s="21"/>
      <c r="I87" s="21"/>
      <c r="J87" s="21"/>
    </row>
    <row r="88" customFormat="false" ht="19.5" hidden="false" customHeight="true" outlineLevel="0" collapsed="false">
      <c r="A88" s="7" t="s">
        <v>228</v>
      </c>
      <c r="B88" s="7"/>
      <c r="C88" s="7"/>
      <c r="D88" s="7"/>
      <c r="E88" s="21"/>
      <c r="F88" s="21"/>
      <c r="G88" s="21"/>
      <c r="H88" s="21"/>
      <c r="I88" s="21"/>
      <c r="J88" s="21"/>
    </row>
    <row r="89" customFormat="false" ht="4.5" hidden="false" customHeight="true" outlineLevel="0" collapsed="false"/>
    <row r="90" customFormat="false" ht="18" hidden="false" customHeight="true" outlineLevel="0" collapsed="false">
      <c r="A90" s="9" t="s">
        <v>53</v>
      </c>
      <c r="B90" s="9"/>
      <c r="C90" s="9"/>
      <c r="D90" s="9"/>
      <c r="E90" s="9"/>
      <c r="F90" s="9"/>
      <c r="G90" s="9"/>
      <c r="H90" s="9"/>
      <c r="I90" s="9"/>
      <c r="J90" s="9"/>
    </row>
  </sheetData>
  <mergeCells count="35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7:J17"/>
    <mergeCell ref="A27:J27"/>
    <mergeCell ref="A34:J34"/>
    <mergeCell ref="A43:J43"/>
    <mergeCell ref="A54:J54"/>
    <mergeCell ref="A60:J60"/>
    <mergeCell ref="A69:J69"/>
    <mergeCell ref="A78:J78"/>
    <mergeCell ref="A79:D79"/>
    <mergeCell ref="A80:D80"/>
    <mergeCell ref="A81:D81"/>
    <mergeCell ref="A82:D82"/>
    <mergeCell ref="A84:J84"/>
    <mergeCell ref="A85:D85"/>
    <mergeCell ref="E85:J85"/>
    <mergeCell ref="A86:D86"/>
    <mergeCell ref="E86:J86"/>
    <mergeCell ref="A87:D87"/>
    <mergeCell ref="E87:J87"/>
    <mergeCell ref="A88:D88"/>
    <mergeCell ref="E88:J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229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7" t="s">
        <v>153</v>
      </c>
      <c r="B3" s="7"/>
      <c r="C3" s="7"/>
      <c r="D3" s="8"/>
      <c r="E3" s="7" t="s">
        <v>8</v>
      </c>
      <c r="F3" s="7"/>
      <c r="G3" s="7"/>
      <c r="H3" s="8"/>
      <c r="I3" s="7" t="s">
        <v>154</v>
      </c>
      <c r="J3" s="7"/>
    </row>
    <row r="4" customFormat="false" ht="15" hidden="false" customHeight="true" outlineLevel="0" collapsed="false">
      <c r="A4" s="7" t="s">
        <v>155</v>
      </c>
      <c r="B4" s="7"/>
      <c r="C4" s="7"/>
      <c r="D4" s="8"/>
      <c r="E4" s="7" t="s">
        <v>11</v>
      </c>
      <c r="F4" s="7"/>
      <c r="G4" s="7"/>
      <c r="H4" s="8"/>
      <c r="I4" s="7" t="s">
        <v>9</v>
      </c>
      <c r="J4" s="7"/>
    </row>
    <row r="5" customFormat="false" ht="15" hidden="false" customHeight="true" outlineLevel="0" collapsed="false">
      <c r="A5" s="7" t="s">
        <v>17</v>
      </c>
      <c r="B5" s="7"/>
      <c r="C5" s="7"/>
      <c r="D5" s="8"/>
      <c r="E5" s="7" t="s">
        <v>156</v>
      </c>
      <c r="F5" s="7"/>
      <c r="G5" s="7"/>
      <c r="H5" s="8"/>
      <c r="I5" s="7" t="s">
        <v>10</v>
      </c>
      <c r="J5" s="7"/>
    </row>
    <row r="6" customFormat="false" ht="4.5" hidden="false" customHeight="true" outlineLevel="0" collapsed="false"/>
    <row r="7" customFormat="false" ht="18" hidden="false" customHeight="true" outlineLevel="0" collapsed="false">
      <c r="A7" s="11" t="s">
        <v>157</v>
      </c>
      <c r="B7" s="11" t="s">
        <v>158</v>
      </c>
      <c r="C7" s="11" t="s">
        <v>159</v>
      </c>
      <c r="D7" s="11" t="s">
        <v>160</v>
      </c>
      <c r="E7" s="11" t="s">
        <v>161</v>
      </c>
      <c r="F7" s="11" t="s">
        <v>162</v>
      </c>
    </row>
    <row r="8" customFormat="false" ht="16.5" hidden="false" customHeight="true" outlineLevel="0" collapsed="false">
      <c r="A8" s="12" t="s">
        <v>163</v>
      </c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true" outlineLevel="0" collapsed="false">
      <c r="A9" s="17" t="s">
        <v>164</v>
      </c>
      <c r="B9" s="20" t="s">
        <v>165</v>
      </c>
      <c r="C9" s="20" t="s">
        <v>165</v>
      </c>
      <c r="D9" s="20" t="s">
        <v>165</v>
      </c>
      <c r="E9" s="18"/>
      <c r="F9" s="17"/>
    </row>
    <row r="10" customFormat="false" ht="15" hidden="false" customHeight="true" outlineLevel="0" collapsed="false">
      <c r="A10" s="13" t="s">
        <v>166</v>
      </c>
      <c r="B10" s="20" t="s">
        <v>165</v>
      </c>
      <c r="C10" s="20" t="s">
        <v>165</v>
      </c>
      <c r="D10" s="20" t="s">
        <v>165</v>
      </c>
      <c r="E10" s="15"/>
      <c r="F10" s="13"/>
    </row>
    <row r="11" customFormat="false" ht="15" hidden="false" customHeight="true" outlineLevel="0" collapsed="false">
      <c r="A11" s="17" t="s">
        <v>167</v>
      </c>
      <c r="B11" s="20" t="s">
        <v>165</v>
      </c>
      <c r="C11" s="20" t="s">
        <v>165</v>
      </c>
      <c r="D11" s="20" t="s">
        <v>165</v>
      </c>
      <c r="E11" s="18"/>
      <c r="F11" s="17"/>
    </row>
    <row r="12" customFormat="false" ht="15" hidden="false" customHeight="true" outlineLevel="0" collapsed="false">
      <c r="A12" s="13" t="s">
        <v>168</v>
      </c>
      <c r="B12" s="20" t="s">
        <v>165</v>
      </c>
      <c r="C12" s="20" t="s">
        <v>165</v>
      </c>
      <c r="D12" s="20" t="s">
        <v>165</v>
      </c>
      <c r="E12" s="15"/>
      <c r="F12" s="13"/>
    </row>
    <row r="13" customFormat="false" ht="15" hidden="false" customHeight="true" outlineLevel="0" collapsed="false">
      <c r="A13" s="17" t="s">
        <v>76</v>
      </c>
      <c r="B13" s="20" t="s">
        <v>165</v>
      </c>
      <c r="C13" s="20" t="s">
        <v>165</v>
      </c>
      <c r="D13" s="20" t="s">
        <v>165</v>
      </c>
      <c r="E13" s="18"/>
      <c r="F13" s="17"/>
    </row>
    <row r="14" customFormat="false" ht="15" hidden="false" customHeight="true" outlineLevel="0" collapsed="false">
      <c r="A14" s="13" t="s">
        <v>169</v>
      </c>
      <c r="B14" s="20" t="s">
        <v>165</v>
      </c>
      <c r="C14" s="20" t="s">
        <v>165</v>
      </c>
      <c r="D14" s="20" t="s">
        <v>165</v>
      </c>
      <c r="E14" s="15"/>
      <c r="F14" s="13"/>
    </row>
    <row r="15" customFormat="false" ht="15" hidden="false" customHeight="true" outlineLevel="0" collapsed="false">
      <c r="A15" s="17" t="s">
        <v>170</v>
      </c>
      <c r="B15" s="20" t="s">
        <v>165</v>
      </c>
      <c r="C15" s="20" t="s">
        <v>165</v>
      </c>
      <c r="D15" s="20" t="s">
        <v>165</v>
      </c>
      <c r="E15" s="18"/>
      <c r="F15" s="17"/>
    </row>
    <row r="16" customFormat="false" ht="3.75" hidden="false" customHeight="true" outlineLevel="0" collapsed="false"/>
    <row r="17" customFormat="false" ht="16.5" hidden="false" customHeight="true" outlineLevel="0" collapsed="false">
      <c r="A17" s="12" t="s">
        <v>171</v>
      </c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true" outlineLevel="0" collapsed="false">
      <c r="A18" s="17" t="s">
        <v>172</v>
      </c>
      <c r="B18" s="20" t="s">
        <v>165</v>
      </c>
      <c r="C18" s="20" t="s">
        <v>165</v>
      </c>
      <c r="D18" s="20" t="s">
        <v>165</v>
      </c>
      <c r="E18" s="18"/>
      <c r="F18" s="17"/>
    </row>
    <row r="19" customFormat="false" ht="15" hidden="false" customHeight="true" outlineLevel="0" collapsed="false">
      <c r="A19" s="13" t="s">
        <v>173</v>
      </c>
      <c r="B19" s="20" t="s">
        <v>165</v>
      </c>
      <c r="C19" s="20" t="s">
        <v>165</v>
      </c>
      <c r="D19" s="20" t="s">
        <v>165</v>
      </c>
      <c r="E19" s="15"/>
      <c r="F19" s="13"/>
    </row>
    <row r="20" customFormat="false" ht="15" hidden="false" customHeight="true" outlineLevel="0" collapsed="false">
      <c r="A20" s="17" t="s">
        <v>174</v>
      </c>
      <c r="B20" s="20" t="s">
        <v>165</v>
      </c>
      <c r="C20" s="20" t="s">
        <v>165</v>
      </c>
      <c r="D20" s="20" t="s">
        <v>165</v>
      </c>
      <c r="E20" s="18"/>
      <c r="F20" s="17"/>
    </row>
    <row r="21" customFormat="false" ht="15" hidden="false" customHeight="true" outlineLevel="0" collapsed="false">
      <c r="A21" s="13" t="s">
        <v>175</v>
      </c>
      <c r="B21" s="20" t="s">
        <v>165</v>
      </c>
      <c r="C21" s="20" t="s">
        <v>165</v>
      </c>
      <c r="D21" s="20" t="s">
        <v>165</v>
      </c>
      <c r="E21" s="15"/>
      <c r="F21" s="13"/>
    </row>
    <row r="22" customFormat="false" ht="15" hidden="false" customHeight="true" outlineLevel="0" collapsed="false">
      <c r="A22" s="17" t="s">
        <v>176</v>
      </c>
      <c r="B22" s="20" t="s">
        <v>165</v>
      </c>
      <c r="C22" s="20" t="s">
        <v>165</v>
      </c>
      <c r="D22" s="20" t="s">
        <v>165</v>
      </c>
      <c r="E22" s="18"/>
      <c r="F22" s="17"/>
    </row>
    <row r="23" customFormat="false" ht="15" hidden="false" customHeight="true" outlineLevel="0" collapsed="false">
      <c r="A23" s="13" t="s">
        <v>177</v>
      </c>
      <c r="B23" s="20" t="s">
        <v>165</v>
      </c>
      <c r="C23" s="20" t="s">
        <v>165</v>
      </c>
      <c r="D23" s="20" t="s">
        <v>165</v>
      </c>
      <c r="E23" s="15"/>
      <c r="F23" s="13"/>
    </row>
    <row r="24" customFormat="false" ht="15" hidden="false" customHeight="true" outlineLevel="0" collapsed="false">
      <c r="A24" s="17" t="s">
        <v>178</v>
      </c>
      <c r="B24" s="20" t="s">
        <v>165</v>
      </c>
      <c r="C24" s="20" t="s">
        <v>165</v>
      </c>
      <c r="D24" s="20" t="s">
        <v>165</v>
      </c>
      <c r="E24" s="18"/>
      <c r="F24" s="17"/>
    </row>
    <row r="25" customFormat="false" ht="15" hidden="false" customHeight="true" outlineLevel="0" collapsed="false">
      <c r="A25" s="13" t="s">
        <v>179</v>
      </c>
      <c r="B25" s="20" t="s">
        <v>165</v>
      </c>
      <c r="C25" s="20" t="s">
        <v>165</v>
      </c>
      <c r="D25" s="20" t="s">
        <v>165</v>
      </c>
      <c r="E25" s="15"/>
      <c r="F25" s="13"/>
    </row>
    <row r="26" customFormat="false" ht="3.75" hidden="false" customHeight="true" outlineLevel="0" collapsed="false"/>
    <row r="27" customFormat="false" ht="16.5" hidden="false" customHeight="true" outlineLevel="0" collapsed="false">
      <c r="A27" s="12" t="s">
        <v>180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true" outlineLevel="0" collapsed="false">
      <c r="A28" s="17" t="s">
        <v>181</v>
      </c>
      <c r="B28" s="20" t="s">
        <v>165</v>
      </c>
      <c r="C28" s="20" t="s">
        <v>165</v>
      </c>
      <c r="D28" s="20" t="s">
        <v>165</v>
      </c>
      <c r="E28" s="18"/>
      <c r="F28" s="17"/>
    </row>
    <row r="29" customFormat="false" ht="15" hidden="false" customHeight="true" outlineLevel="0" collapsed="false">
      <c r="A29" s="13" t="s">
        <v>182</v>
      </c>
      <c r="B29" s="20" t="s">
        <v>165</v>
      </c>
      <c r="C29" s="20" t="s">
        <v>165</v>
      </c>
      <c r="D29" s="20" t="s">
        <v>165</v>
      </c>
      <c r="E29" s="15"/>
      <c r="F29" s="13"/>
    </row>
    <row r="30" customFormat="false" ht="15" hidden="false" customHeight="true" outlineLevel="0" collapsed="false">
      <c r="A30" s="17" t="s">
        <v>183</v>
      </c>
      <c r="B30" s="20" t="s">
        <v>165</v>
      </c>
      <c r="C30" s="20" t="s">
        <v>165</v>
      </c>
      <c r="D30" s="20" t="s">
        <v>165</v>
      </c>
      <c r="E30" s="18"/>
      <c r="F30" s="17"/>
    </row>
    <row r="31" customFormat="false" ht="15" hidden="false" customHeight="true" outlineLevel="0" collapsed="false">
      <c r="A31" s="13" t="s">
        <v>184</v>
      </c>
      <c r="B31" s="20" t="s">
        <v>165</v>
      </c>
      <c r="C31" s="20" t="s">
        <v>165</v>
      </c>
      <c r="D31" s="20" t="s">
        <v>165</v>
      </c>
      <c r="E31" s="15"/>
      <c r="F31" s="13"/>
    </row>
    <row r="32" customFormat="false" ht="15" hidden="false" customHeight="true" outlineLevel="0" collapsed="false">
      <c r="A32" s="17" t="s">
        <v>185</v>
      </c>
      <c r="B32" s="20" t="s">
        <v>165</v>
      </c>
      <c r="C32" s="20" t="s">
        <v>165</v>
      </c>
      <c r="D32" s="20" t="s">
        <v>165</v>
      </c>
      <c r="E32" s="18"/>
      <c r="F32" s="17"/>
    </row>
    <row r="33" customFormat="false" ht="3.75" hidden="false" customHeight="true" outlineLevel="0" collapsed="false"/>
    <row r="34" customFormat="false" ht="16.5" hidden="false" customHeight="true" outlineLevel="0" collapsed="false">
      <c r="A34" s="12" t="s">
        <v>92</v>
      </c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true" outlineLevel="0" collapsed="false">
      <c r="A35" s="17" t="s">
        <v>186</v>
      </c>
      <c r="B35" s="20" t="s">
        <v>165</v>
      </c>
      <c r="C35" s="20" t="s">
        <v>165</v>
      </c>
      <c r="D35" s="20" t="s">
        <v>165</v>
      </c>
      <c r="E35" s="18"/>
      <c r="F35" s="17"/>
    </row>
    <row r="36" customFormat="false" ht="15" hidden="false" customHeight="true" outlineLevel="0" collapsed="false">
      <c r="A36" s="13" t="s">
        <v>187</v>
      </c>
      <c r="B36" s="20" t="s">
        <v>165</v>
      </c>
      <c r="C36" s="20" t="s">
        <v>165</v>
      </c>
      <c r="D36" s="20" t="s">
        <v>165</v>
      </c>
      <c r="E36" s="15"/>
      <c r="F36" s="13"/>
    </row>
    <row r="37" customFormat="false" ht="15" hidden="false" customHeight="true" outlineLevel="0" collapsed="false">
      <c r="A37" s="17" t="s">
        <v>188</v>
      </c>
      <c r="B37" s="20" t="s">
        <v>165</v>
      </c>
      <c r="C37" s="20" t="s">
        <v>165</v>
      </c>
      <c r="D37" s="20" t="s">
        <v>165</v>
      </c>
      <c r="E37" s="18"/>
      <c r="F37" s="17"/>
    </row>
    <row r="38" customFormat="false" ht="15" hidden="false" customHeight="true" outlineLevel="0" collapsed="false">
      <c r="A38" s="13" t="s">
        <v>189</v>
      </c>
      <c r="B38" s="20" t="s">
        <v>165</v>
      </c>
      <c r="C38" s="20" t="s">
        <v>165</v>
      </c>
      <c r="D38" s="20" t="s">
        <v>165</v>
      </c>
      <c r="E38" s="15"/>
      <c r="F38" s="13"/>
    </row>
    <row r="39" customFormat="false" ht="15" hidden="false" customHeight="true" outlineLevel="0" collapsed="false">
      <c r="A39" s="17" t="s">
        <v>190</v>
      </c>
      <c r="B39" s="20" t="s">
        <v>165</v>
      </c>
      <c r="C39" s="20" t="s">
        <v>165</v>
      </c>
      <c r="D39" s="20" t="s">
        <v>165</v>
      </c>
      <c r="E39" s="18"/>
      <c r="F39" s="17"/>
    </row>
    <row r="40" customFormat="false" ht="15" hidden="false" customHeight="true" outlineLevel="0" collapsed="false">
      <c r="A40" s="13" t="s">
        <v>191</v>
      </c>
      <c r="B40" s="20" t="s">
        <v>165</v>
      </c>
      <c r="C40" s="20" t="s">
        <v>165</v>
      </c>
      <c r="D40" s="20" t="s">
        <v>165</v>
      </c>
      <c r="E40" s="15"/>
      <c r="F40" s="13"/>
    </row>
    <row r="41" customFormat="false" ht="15" hidden="false" customHeight="true" outlineLevel="0" collapsed="false">
      <c r="A41" s="17" t="s">
        <v>192</v>
      </c>
      <c r="B41" s="20" t="s">
        <v>165</v>
      </c>
      <c r="C41" s="20" t="s">
        <v>165</v>
      </c>
      <c r="D41" s="20" t="s">
        <v>165</v>
      </c>
      <c r="E41" s="18"/>
      <c r="F41" s="17"/>
    </row>
    <row r="42" customFormat="false" ht="3.75" hidden="false" customHeight="true" outlineLevel="0" collapsed="false"/>
    <row r="43" customFormat="false" ht="16.5" hidden="false" customHeight="true" outlineLevel="0" collapsed="false">
      <c r="A43" s="12" t="s">
        <v>193</v>
      </c>
      <c r="B43" s="12"/>
      <c r="C43" s="12"/>
      <c r="D43" s="12"/>
      <c r="E43" s="12"/>
      <c r="F43" s="12"/>
      <c r="G43" s="12"/>
      <c r="H43" s="12"/>
      <c r="I43" s="12"/>
      <c r="J43" s="12"/>
    </row>
    <row r="44" customFormat="false" ht="15" hidden="false" customHeight="true" outlineLevel="0" collapsed="false">
      <c r="A44" s="17" t="s">
        <v>194</v>
      </c>
      <c r="B44" s="20" t="s">
        <v>165</v>
      </c>
      <c r="C44" s="20" t="s">
        <v>165</v>
      </c>
      <c r="D44" s="20" t="s">
        <v>165</v>
      </c>
      <c r="E44" s="18"/>
      <c r="F44" s="17"/>
    </row>
    <row r="45" customFormat="false" ht="15" hidden="false" customHeight="true" outlineLevel="0" collapsed="false">
      <c r="A45" s="13" t="s">
        <v>195</v>
      </c>
      <c r="B45" s="20" t="s">
        <v>165</v>
      </c>
      <c r="C45" s="20" t="s">
        <v>165</v>
      </c>
      <c r="D45" s="20" t="s">
        <v>165</v>
      </c>
      <c r="E45" s="15"/>
      <c r="F45" s="13"/>
    </row>
    <row r="46" customFormat="false" ht="15" hidden="false" customHeight="true" outlineLevel="0" collapsed="false">
      <c r="A46" s="17" t="s">
        <v>196</v>
      </c>
      <c r="B46" s="20" t="s">
        <v>165</v>
      </c>
      <c r="C46" s="20" t="s">
        <v>165</v>
      </c>
      <c r="D46" s="20" t="s">
        <v>165</v>
      </c>
      <c r="E46" s="18"/>
      <c r="F46" s="17"/>
    </row>
    <row r="47" customFormat="false" ht="15" hidden="false" customHeight="true" outlineLevel="0" collapsed="false">
      <c r="A47" s="13" t="s">
        <v>197</v>
      </c>
      <c r="B47" s="20" t="s">
        <v>165</v>
      </c>
      <c r="C47" s="20" t="s">
        <v>165</v>
      </c>
      <c r="D47" s="20" t="s">
        <v>165</v>
      </c>
      <c r="E47" s="15"/>
      <c r="F47" s="13"/>
    </row>
    <row r="48" customFormat="false" ht="15" hidden="false" customHeight="true" outlineLevel="0" collapsed="false">
      <c r="A48" s="17" t="s">
        <v>198</v>
      </c>
      <c r="B48" s="20" t="s">
        <v>165</v>
      </c>
      <c r="C48" s="20" t="s">
        <v>165</v>
      </c>
      <c r="D48" s="20" t="s">
        <v>165</v>
      </c>
      <c r="E48" s="18"/>
      <c r="F48" s="17"/>
    </row>
    <row r="49" customFormat="false" ht="15" hidden="false" customHeight="true" outlineLevel="0" collapsed="false">
      <c r="A49" s="13" t="s">
        <v>199</v>
      </c>
      <c r="B49" s="20" t="s">
        <v>165</v>
      </c>
      <c r="C49" s="20" t="s">
        <v>165</v>
      </c>
      <c r="D49" s="20" t="s">
        <v>165</v>
      </c>
      <c r="E49" s="15"/>
      <c r="F49" s="13"/>
    </row>
    <row r="50" customFormat="false" ht="15" hidden="false" customHeight="true" outlineLevel="0" collapsed="false">
      <c r="A50" s="17" t="s">
        <v>105</v>
      </c>
      <c r="B50" s="20" t="s">
        <v>165</v>
      </c>
      <c r="C50" s="20" t="s">
        <v>165</v>
      </c>
      <c r="D50" s="20" t="s">
        <v>165</v>
      </c>
      <c r="E50" s="18"/>
      <c r="F50" s="17"/>
    </row>
    <row r="51" customFormat="false" ht="15" hidden="false" customHeight="true" outlineLevel="0" collapsed="false">
      <c r="A51" s="13" t="s">
        <v>200</v>
      </c>
      <c r="B51" s="20" t="s">
        <v>165</v>
      </c>
      <c r="C51" s="20" t="s">
        <v>165</v>
      </c>
      <c r="D51" s="20" t="s">
        <v>165</v>
      </c>
      <c r="E51" s="15"/>
      <c r="F51" s="13"/>
    </row>
    <row r="52" customFormat="false" ht="15" hidden="false" customHeight="true" outlineLevel="0" collapsed="false">
      <c r="A52" s="17" t="s">
        <v>201</v>
      </c>
      <c r="B52" s="20" t="s">
        <v>165</v>
      </c>
      <c r="C52" s="20" t="s">
        <v>165</v>
      </c>
      <c r="D52" s="20" t="s">
        <v>165</v>
      </c>
      <c r="E52" s="18"/>
      <c r="F52" s="17"/>
    </row>
    <row r="53" customFormat="false" ht="3.75" hidden="false" customHeight="true" outlineLevel="0" collapsed="false"/>
    <row r="54" customFormat="false" ht="16.5" hidden="false" customHeight="true" outlineLevel="0" collapsed="false">
      <c r="A54" s="12" t="s">
        <v>110</v>
      </c>
      <c r="B54" s="12"/>
      <c r="C54" s="12"/>
      <c r="D54" s="12"/>
      <c r="E54" s="12"/>
      <c r="F54" s="12"/>
      <c r="G54" s="12"/>
      <c r="H54" s="12"/>
      <c r="I54" s="12"/>
      <c r="J54" s="12"/>
    </row>
    <row r="55" customFormat="false" ht="15" hidden="false" customHeight="true" outlineLevel="0" collapsed="false">
      <c r="A55" s="17" t="s">
        <v>111</v>
      </c>
      <c r="B55" s="20" t="s">
        <v>165</v>
      </c>
      <c r="C55" s="20" t="s">
        <v>165</v>
      </c>
      <c r="D55" s="20" t="s">
        <v>165</v>
      </c>
      <c r="E55" s="18"/>
      <c r="F55" s="17"/>
    </row>
    <row r="56" customFormat="false" ht="15" hidden="false" customHeight="true" outlineLevel="0" collapsed="false">
      <c r="A56" s="13" t="s">
        <v>112</v>
      </c>
      <c r="B56" s="20" t="s">
        <v>165</v>
      </c>
      <c r="C56" s="20" t="s">
        <v>165</v>
      </c>
      <c r="D56" s="20" t="s">
        <v>165</v>
      </c>
      <c r="E56" s="15"/>
      <c r="F56" s="13"/>
    </row>
    <row r="57" customFormat="false" ht="15" hidden="false" customHeight="true" outlineLevel="0" collapsed="false">
      <c r="A57" s="17" t="s">
        <v>113</v>
      </c>
      <c r="B57" s="20" t="s">
        <v>165</v>
      </c>
      <c r="C57" s="20" t="s">
        <v>165</v>
      </c>
      <c r="D57" s="20" t="s">
        <v>165</v>
      </c>
      <c r="E57" s="18"/>
      <c r="F57" s="17"/>
    </row>
    <row r="58" customFormat="false" ht="15" hidden="false" customHeight="true" outlineLevel="0" collapsed="false">
      <c r="A58" s="13" t="s">
        <v>202</v>
      </c>
      <c r="B58" s="20" t="s">
        <v>165</v>
      </c>
      <c r="C58" s="20" t="s">
        <v>165</v>
      </c>
      <c r="D58" s="20" t="s">
        <v>165</v>
      </c>
      <c r="E58" s="15"/>
      <c r="F58" s="13"/>
    </row>
    <row r="59" customFormat="false" ht="3.75" hidden="false" customHeight="true" outlineLevel="0" collapsed="false"/>
    <row r="60" customFormat="false" ht="16.5" hidden="false" customHeight="true" outlineLevel="0" collapsed="false">
      <c r="A60" s="12" t="s">
        <v>203</v>
      </c>
      <c r="B60" s="12"/>
      <c r="C60" s="12"/>
      <c r="D60" s="12"/>
      <c r="E60" s="12"/>
      <c r="F60" s="12"/>
      <c r="G60" s="12"/>
      <c r="H60" s="12"/>
      <c r="I60" s="12"/>
      <c r="J60" s="12"/>
    </row>
    <row r="61" customFormat="false" ht="15" hidden="false" customHeight="true" outlineLevel="0" collapsed="false">
      <c r="A61" s="17" t="s">
        <v>204</v>
      </c>
      <c r="B61" s="20" t="s">
        <v>165</v>
      </c>
      <c r="C61" s="20" t="s">
        <v>165</v>
      </c>
      <c r="D61" s="20" t="s">
        <v>165</v>
      </c>
      <c r="E61" s="18"/>
      <c r="F61" s="17"/>
    </row>
    <row r="62" customFormat="false" ht="15" hidden="false" customHeight="true" outlineLevel="0" collapsed="false">
      <c r="A62" s="13" t="s">
        <v>205</v>
      </c>
      <c r="B62" s="20" t="s">
        <v>165</v>
      </c>
      <c r="C62" s="20" t="s">
        <v>165</v>
      </c>
      <c r="D62" s="20" t="s">
        <v>165</v>
      </c>
      <c r="E62" s="15"/>
      <c r="F62" s="13"/>
    </row>
    <row r="63" customFormat="false" ht="15" hidden="false" customHeight="true" outlineLevel="0" collapsed="false">
      <c r="A63" s="17" t="s">
        <v>206</v>
      </c>
      <c r="B63" s="20" t="s">
        <v>165</v>
      </c>
      <c r="C63" s="20" t="s">
        <v>165</v>
      </c>
      <c r="D63" s="20" t="s">
        <v>165</v>
      </c>
      <c r="E63" s="18"/>
      <c r="F63" s="17"/>
    </row>
    <row r="64" customFormat="false" ht="15" hidden="false" customHeight="true" outlineLevel="0" collapsed="false">
      <c r="A64" s="13" t="s">
        <v>207</v>
      </c>
      <c r="B64" s="20" t="s">
        <v>165</v>
      </c>
      <c r="C64" s="20" t="s">
        <v>165</v>
      </c>
      <c r="D64" s="20" t="s">
        <v>165</v>
      </c>
      <c r="E64" s="15"/>
      <c r="F64" s="13"/>
    </row>
    <row r="65" customFormat="false" ht="15" hidden="false" customHeight="true" outlineLevel="0" collapsed="false">
      <c r="A65" s="17" t="s">
        <v>208</v>
      </c>
      <c r="B65" s="20" t="s">
        <v>165</v>
      </c>
      <c r="C65" s="20" t="s">
        <v>165</v>
      </c>
      <c r="D65" s="20" t="s">
        <v>165</v>
      </c>
      <c r="E65" s="18"/>
      <c r="F65" s="17"/>
    </row>
    <row r="66" customFormat="false" ht="15" hidden="false" customHeight="true" outlineLevel="0" collapsed="false">
      <c r="A66" s="13" t="s">
        <v>209</v>
      </c>
      <c r="B66" s="20" t="s">
        <v>165</v>
      </c>
      <c r="C66" s="20" t="s">
        <v>165</v>
      </c>
      <c r="D66" s="20" t="s">
        <v>165</v>
      </c>
      <c r="E66" s="15"/>
      <c r="F66" s="13"/>
    </row>
    <row r="67" customFormat="false" ht="15" hidden="false" customHeight="true" outlineLevel="0" collapsed="false">
      <c r="A67" s="17" t="s">
        <v>210</v>
      </c>
      <c r="B67" s="20" t="s">
        <v>165</v>
      </c>
      <c r="C67" s="20" t="s">
        <v>165</v>
      </c>
      <c r="D67" s="20" t="s">
        <v>165</v>
      </c>
      <c r="E67" s="18"/>
      <c r="F67" s="17"/>
    </row>
    <row r="68" customFormat="false" ht="3.75" hidden="false" customHeight="true" outlineLevel="0" collapsed="false"/>
    <row r="69" customFormat="false" ht="16.5" hidden="false" customHeight="true" outlineLevel="0" collapsed="false">
      <c r="A69" s="12" t="s">
        <v>211</v>
      </c>
      <c r="B69" s="12"/>
      <c r="C69" s="12"/>
      <c r="D69" s="12"/>
      <c r="E69" s="12"/>
      <c r="F69" s="12"/>
      <c r="G69" s="12"/>
      <c r="H69" s="12"/>
      <c r="I69" s="12"/>
      <c r="J69" s="12"/>
    </row>
    <row r="70" customFormat="false" ht="15" hidden="false" customHeight="true" outlineLevel="0" collapsed="false">
      <c r="A70" s="17" t="s">
        <v>212</v>
      </c>
      <c r="B70" s="20" t="s">
        <v>165</v>
      </c>
      <c r="C70" s="20" t="s">
        <v>165</v>
      </c>
      <c r="D70" s="20" t="s">
        <v>165</v>
      </c>
      <c r="E70" s="18"/>
      <c r="F70" s="17"/>
    </row>
    <row r="71" customFormat="false" ht="15" hidden="false" customHeight="true" outlineLevel="0" collapsed="false">
      <c r="A71" s="13" t="s">
        <v>213</v>
      </c>
      <c r="B71" s="20" t="s">
        <v>165</v>
      </c>
      <c r="C71" s="20" t="s">
        <v>165</v>
      </c>
      <c r="D71" s="20" t="s">
        <v>165</v>
      </c>
      <c r="E71" s="15"/>
      <c r="F71" s="13"/>
    </row>
    <row r="72" customFormat="false" ht="15" hidden="false" customHeight="true" outlineLevel="0" collapsed="false">
      <c r="A72" s="17" t="s">
        <v>214</v>
      </c>
      <c r="B72" s="20" t="s">
        <v>165</v>
      </c>
      <c r="C72" s="20" t="s">
        <v>165</v>
      </c>
      <c r="D72" s="20" t="s">
        <v>165</v>
      </c>
      <c r="E72" s="18"/>
      <c r="F72" s="17"/>
    </row>
    <row r="73" customFormat="false" ht="15" hidden="false" customHeight="true" outlineLevel="0" collapsed="false">
      <c r="A73" s="13" t="s">
        <v>215</v>
      </c>
      <c r="B73" s="20" t="s">
        <v>165</v>
      </c>
      <c r="C73" s="20" t="s">
        <v>165</v>
      </c>
      <c r="D73" s="20" t="s">
        <v>165</v>
      </c>
      <c r="E73" s="15"/>
      <c r="F73" s="13"/>
    </row>
    <row r="74" customFormat="false" ht="15" hidden="false" customHeight="true" outlineLevel="0" collapsed="false">
      <c r="A74" s="17" t="s">
        <v>216</v>
      </c>
      <c r="B74" s="20" t="s">
        <v>165</v>
      </c>
      <c r="C74" s="20" t="s">
        <v>165</v>
      </c>
      <c r="D74" s="20" t="s">
        <v>165</v>
      </c>
      <c r="E74" s="18"/>
      <c r="F74" s="17"/>
    </row>
    <row r="75" customFormat="false" ht="15" hidden="false" customHeight="true" outlineLevel="0" collapsed="false">
      <c r="A75" s="13" t="s">
        <v>217</v>
      </c>
      <c r="B75" s="20" t="s">
        <v>165</v>
      </c>
      <c r="C75" s="20" t="s">
        <v>165</v>
      </c>
      <c r="D75" s="20" t="s">
        <v>165</v>
      </c>
      <c r="E75" s="15"/>
      <c r="F75" s="13"/>
    </row>
    <row r="76" customFormat="false" ht="15" hidden="false" customHeight="true" outlineLevel="0" collapsed="false">
      <c r="A76" s="17" t="s">
        <v>218</v>
      </c>
      <c r="B76" s="20" t="s">
        <v>165</v>
      </c>
      <c r="C76" s="20" t="s">
        <v>165</v>
      </c>
      <c r="D76" s="20" t="s">
        <v>165</v>
      </c>
      <c r="E76" s="18"/>
      <c r="F76" s="17"/>
    </row>
    <row r="77" customFormat="false" ht="3.75" hidden="false" customHeight="true" outlineLevel="0" collapsed="false"/>
    <row r="78" customFormat="false" ht="21.75" hidden="false" customHeight="true" outlineLevel="0" collapsed="false">
      <c r="A78" s="5" t="s">
        <v>230</v>
      </c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.75" hidden="false" customHeight="true" outlineLevel="0" collapsed="false">
      <c r="A79" s="7" t="s">
        <v>220</v>
      </c>
      <c r="B79" s="7"/>
      <c r="C79" s="7"/>
      <c r="D79" s="7"/>
      <c r="E79" s="19"/>
    </row>
    <row r="80" customFormat="false" ht="15.75" hidden="false" customHeight="true" outlineLevel="0" collapsed="false">
      <c r="A80" s="7" t="s">
        <v>221</v>
      </c>
      <c r="B80" s="7"/>
      <c r="C80" s="7"/>
      <c r="D80" s="7"/>
      <c r="E80" s="19"/>
    </row>
    <row r="81" customFormat="false" ht="15.75" hidden="false" customHeight="true" outlineLevel="0" collapsed="false">
      <c r="A81" s="7" t="s">
        <v>222</v>
      </c>
      <c r="B81" s="7"/>
      <c r="C81" s="7"/>
      <c r="D81" s="7"/>
      <c r="E81" s="19"/>
    </row>
    <row r="82" customFormat="false" ht="15.75" hidden="false" customHeight="true" outlineLevel="0" collapsed="false">
      <c r="A82" s="7" t="s">
        <v>223</v>
      </c>
      <c r="B82" s="7"/>
      <c r="C82" s="7"/>
      <c r="D82" s="7"/>
      <c r="E82" s="19"/>
    </row>
    <row r="83" customFormat="false" ht="4.5" hidden="false" customHeight="true" outlineLevel="0" collapsed="false"/>
    <row r="84" customFormat="false" ht="16.5" hidden="false" customHeight="true" outlineLevel="0" collapsed="false">
      <c r="A84" s="12" t="s">
        <v>224</v>
      </c>
      <c r="B84" s="12"/>
      <c r="C84" s="12"/>
      <c r="D84" s="12"/>
      <c r="E84" s="12"/>
      <c r="F84" s="12"/>
      <c r="G84" s="12"/>
      <c r="H84" s="12"/>
      <c r="I84" s="12"/>
      <c r="J84" s="12"/>
    </row>
    <row r="85" customFormat="false" ht="19.5" hidden="false" customHeight="true" outlineLevel="0" collapsed="false">
      <c r="A85" s="7" t="s">
        <v>225</v>
      </c>
      <c r="B85" s="7"/>
      <c r="C85" s="7"/>
      <c r="D85" s="7"/>
      <c r="E85" s="21"/>
      <c r="F85" s="21"/>
      <c r="G85" s="21"/>
      <c r="H85" s="21"/>
      <c r="I85" s="21"/>
      <c r="J85" s="21"/>
    </row>
    <row r="86" customFormat="false" ht="19.5" hidden="false" customHeight="true" outlineLevel="0" collapsed="false">
      <c r="A86" s="7" t="s">
        <v>226</v>
      </c>
      <c r="B86" s="7"/>
      <c r="C86" s="7"/>
      <c r="D86" s="7"/>
      <c r="E86" s="21"/>
      <c r="F86" s="21"/>
      <c r="G86" s="21"/>
      <c r="H86" s="21"/>
      <c r="I86" s="21"/>
      <c r="J86" s="21"/>
    </row>
    <row r="87" customFormat="false" ht="19.5" hidden="false" customHeight="true" outlineLevel="0" collapsed="false">
      <c r="A87" s="7" t="s">
        <v>227</v>
      </c>
      <c r="B87" s="7"/>
      <c r="C87" s="7"/>
      <c r="D87" s="7"/>
      <c r="E87" s="21"/>
      <c r="F87" s="21"/>
      <c r="G87" s="21"/>
      <c r="H87" s="21"/>
      <c r="I87" s="21"/>
      <c r="J87" s="21"/>
    </row>
    <row r="88" customFormat="false" ht="19.5" hidden="false" customHeight="true" outlineLevel="0" collapsed="false">
      <c r="A88" s="7" t="s">
        <v>228</v>
      </c>
      <c r="B88" s="7"/>
      <c r="C88" s="7"/>
      <c r="D88" s="7"/>
      <c r="E88" s="21"/>
      <c r="F88" s="21"/>
      <c r="G88" s="21"/>
      <c r="H88" s="21"/>
      <c r="I88" s="21"/>
      <c r="J88" s="21"/>
    </row>
    <row r="89" customFormat="false" ht="4.5" hidden="false" customHeight="true" outlineLevel="0" collapsed="false"/>
    <row r="90" customFormat="false" ht="18" hidden="false" customHeight="true" outlineLevel="0" collapsed="false">
      <c r="A90" s="9" t="s">
        <v>53</v>
      </c>
      <c r="B90" s="9"/>
      <c r="C90" s="9"/>
      <c r="D90" s="9"/>
      <c r="E90" s="9"/>
      <c r="F90" s="9"/>
      <c r="G90" s="9"/>
      <c r="H90" s="9"/>
      <c r="I90" s="9"/>
      <c r="J90" s="9"/>
    </row>
  </sheetData>
  <mergeCells count="35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7:J17"/>
    <mergeCell ref="A27:J27"/>
    <mergeCell ref="A34:J34"/>
    <mergeCell ref="A43:J43"/>
    <mergeCell ref="A54:J54"/>
    <mergeCell ref="A60:J60"/>
    <mergeCell ref="A69:J69"/>
    <mergeCell ref="A78:J78"/>
    <mergeCell ref="A79:D79"/>
    <mergeCell ref="A80:D80"/>
    <mergeCell ref="A81:D81"/>
    <mergeCell ref="A82:D82"/>
    <mergeCell ref="A84:J84"/>
    <mergeCell ref="A85:D85"/>
    <mergeCell ref="E85:J85"/>
    <mergeCell ref="A86:D86"/>
    <mergeCell ref="E86:J86"/>
    <mergeCell ref="A87:D87"/>
    <mergeCell ref="E87:J87"/>
    <mergeCell ref="A88:D88"/>
    <mergeCell ref="E88:J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231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7" t="s">
        <v>153</v>
      </c>
      <c r="B3" s="7"/>
      <c r="C3" s="7"/>
      <c r="D3" s="8"/>
      <c r="E3" s="7" t="s">
        <v>8</v>
      </c>
      <c r="F3" s="7"/>
      <c r="G3" s="7"/>
      <c r="H3" s="8"/>
      <c r="I3" s="7" t="s">
        <v>154</v>
      </c>
      <c r="J3" s="7"/>
    </row>
    <row r="4" customFormat="false" ht="15" hidden="false" customHeight="true" outlineLevel="0" collapsed="false">
      <c r="A4" s="7" t="s">
        <v>155</v>
      </c>
      <c r="B4" s="7"/>
      <c r="C4" s="7"/>
      <c r="D4" s="8"/>
      <c r="E4" s="7" t="s">
        <v>11</v>
      </c>
      <c r="F4" s="7"/>
      <c r="G4" s="7"/>
      <c r="H4" s="8"/>
      <c r="I4" s="7" t="s">
        <v>9</v>
      </c>
      <c r="J4" s="7"/>
    </row>
    <row r="5" customFormat="false" ht="15" hidden="false" customHeight="true" outlineLevel="0" collapsed="false">
      <c r="A5" s="7" t="s">
        <v>17</v>
      </c>
      <c r="B5" s="7"/>
      <c r="C5" s="7"/>
      <c r="D5" s="8"/>
      <c r="E5" s="7" t="s">
        <v>156</v>
      </c>
      <c r="F5" s="7"/>
      <c r="G5" s="7"/>
      <c r="H5" s="8"/>
      <c r="I5" s="7" t="s">
        <v>10</v>
      </c>
      <c r="J5" s="7"/>
    </row>
    <row r="6" customFormat="false" ht="4.5" hidden="false" customHeight="true" outlineLevel="0" collapsed="false"/>
    <row r="7" customFormat="false" ht="18" hidden="false" customHeight="true" outlineLevel="0" collapsed="false">
      <c r="A7" s="11" t="s">
        <v>157</v>
      </c>
      <c r="B7" s="11" t="s">
        <v>158</v>
      </c>
      <c r="C7" s="11" t="s">
        <v>159</v>
      </c>
      <c r="D7" s="11" t="s">
        <v>160</v>
      </c>
      <c r="E7" s="11" t="s">
        <v>161</v>
      </c>
      <c r="F7" s="11" t="s">
        <v>162</v>
      </c>
    </row>
    <row r="8" customFormat="false" ht="16.5" hidden="false" customHeight="true" outlineLevel="0" collapsed="false">
      <c r="A8" s="12" t="s">
        <v>163</v>
      </c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true" outlineLevel="0" collapsed="false">
      <c r="A9" s="17" t="s">
        <v>164</v>
      </c>
      <c r="B9" s="20" t="s">
        <v>165</v>
      </c>
      <c r="C9" s="20" t="s">
        <v>165</v>
      </c>
      <c r="D9" s="20" t="s">
        <v>165</v>
      </c>
      <c r="E9" s="18"/>
      <c r="F9" s="17"/>
    </row>
    <row r="10" customFormat="false" ht="15" hidden="false" customHeight="true" outlineLevel="0" collapsed="false">
      <c r="A10" s="13" t="s">
        <v>166</v>
      </c>
      <c r="B10" s="20" t="s">
        <v>165</v>
      </c>
      <c r="C10" s="20" t="s">
        <v>165</v>
      </c>
      <c r="D10" s="20" t="s">
        <v>165</v>
      </c>
      <c r="E10" s="15"/>
      <c r="F10" s="13"/>
    </row>
    <row r="11" customFormat="false" ht="15" hidden="false" customHeight="true" outlineLevel="0" collapsed="false">
      <c r="A11" s="17" t="s">
        <v>167</v>
      </c>
      <c r="B11" s="20" t="s">
        <v>165</v>
      </c>
      <c r="C11" s="20" t="s">
        <v>165</v>
      </c>
      <c r="D11" s="20" t="s">
        <v>165</v>
      </c>
      <c r="E11" s="18"/>
      <c r="F11" s="17"/>
    </row>
    <row r="12" customFormat="false" ht="15" hidden="false" customHeight="true" outlineLevel="0" collapsed="false">
      <c r="A12" s="13" t="s">
        <v>168</v>
      </c>
      <c r="B12" s="20" t="s">
        <v>165</v>
      </c>
      <c r="C12" s="20" t="s">
        <v>165</v>
      </c>
      <c r="D12" s="20" t="s">
        <v>165</v>
      </c>
      <c r="E12" s="15"/>
      <c r="F12" s="13"/>
    </row>
    <row r="13" customFormat="false" ht="15" hidden="false" customHeight="true" outlineLevel="0" collapsed="false">
      <c r="A13" s="17" t="s">
        <v>76</v>
      </c>
      <c r="B13" s="20" t="s">
        <v>165</v>
      </c>
      <c r="C13" s="20" t="s">
        <v>165</v>
      </c>
      <c r="D13" s="20" t="s">
        <v>165</v>
      </c>
      <c r="E13" s="18"/>
      <c r="F13" s="17"/>
    </row>
    <row r="14" customFormat="false" ht="15" hidden="false" customHeight="true" outlineLevel="0" collapsed="false">
      <c r="A14" s="13" t="s">
        <v>169</v>
      </c>
      <c r="B14" s="20" t="s">
        <v>165</v>
      </c>
      <c r="C14" s="20" t="s">
        <v>165</v>
      </c>
      <c r="D14" s="20" t="s">
        <v>165</v>
      </c>
      <c r="E14" s="15"/>
      <c r="F14" s="13"/>
    </row>
    <row r="15" customFormat="false" ht="15" hidden="false" customHeight="true" outlineLevel="0" collapsed="false">
      <c r="A15" s="17" t="s">
        <v>170</v>
      </c>
      <c r="B15" s="20" t="s">
        <v>165</v>
      </c>
      <c r="C15" s="20" t="s">
        <v>165</v>
      </c>
      <c r="D15" s="20" t="s">
        <v>165</v>
      </c>
      <c r="E15" s="18"/>
      <c r="F15" s="17"/>
    </row>
    <row r="16" customFormat="false" ht="3.75" hidden="false" customHeight="true" outlineLevel="0" collapsed="false"/>
    <row r="17" customFormat="false" ht="16.5" hidden="false" customHeight="true" outlineLevel="0" collapsed="false">
      <c r="A17" s="12" t="s">
        <v>171</v>
      </c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true" outlineLevel="0" collapsed="false">
      <c r="A18" s="17" t="s">
        <v>172</v>
      </c>
      <c r="B18" s="20" t="s">
        <v>165</v>
      </c>
      <c r="C18" s="20" t="s">
        <v>165</v>
      </c>
      <c r="D18" s="20" t="s">
        <v>165</v>
      </c>
      <c r="E18" s="18"/>
      <c r="F18" s="17"/>
    </row>
    <row r="19" customFormat="false" ht="15" hidden="false" customHeight="true" outlineLevel="0" collapsed="false">
      <c r="A19" s="13" t="s">
        <v>173</v>
      </c>
      <c r="B19" s="20" t="s">
        <v>165</v>
      </c>
      <c r="C19" s="20" t="s">
        <v>165</v>
      </c>
      <c r="D19" s="20" t="s">
        <v>165</v>
      </c>
      <c r="E19" s="15"/>
      <c r="F19" s="13"/>
    </row>
    <row r="20" customFormat="false" ht="15" hidden="false" customHeight="true" outlineLevel="0" collapsed="false">
      <c r="A20" s="17" t="s">
        <v>174</v>
      </c>
      <c r="B20" s="20" t="s">
        <v>165</v>
      </c>
      <c r="C20" s="20" t="s">
        <v>165</v>
      </c>
      <c r="D20" s="20" t="s">
        <v>165</v>
      </c>
      <c r="E20" s="18"/>
      <c r="F20" s="17"/>
    </row>
    <row r="21" customFormat="false" ht="15" hidden="false" customHeight="true" outlineLevel="0" collapsed="false">
      <c r="A21" s="13" t="s">
        <v>175</v>
      </c>
      <c r="B21" s="20" t="s">
        <v>165</v>
      </c>
      <c r="C21" s="20" t="s">
        <v>165</v>
      </c>
      <c r="D21" s="20" t="s">
        <v>165</v>
      </c>
      <c r="E21" s="15"/>
      <c r="F21" s="13"/>
    </row>
    <row r="22" customFormat="false" ht="15" hidden="false" customHeight="true" outlineLevel="0" collapsed="false">
      <c r="A22" s="17" t="s">
        <v>176</v>
      </c>
      <c r="B22" s="20" t="s">
        <v>165</v>
      </c>
      <c r="C22" s="20" t="s">
        <v>165</v>
      </c>
      <c r="D22" s="20" t="s">
        <v>165</v>
      </c>
      <c r="E22" s="18"/>
      <c r="F22" s="17"/>
    </row>
    <row r="23" customFormat="false" ht="15" hidden="false" customHeight="true" outlineLevel="0" collapsed="false">
      <c r="A23" s="13" t="s">
        <v>177</v>
      </c>
      <c r="B23" s="20" t="s">
        <v>165</v>
      </c>
      <c r="C23" s="20" t="s">
        <v>165</v>
      </c>
      <c r="D23" s="20" t="s">
        <v>165</v>
      </c>
      <c r="E23" s="15"/>
      <c r="F23" s="13"/>
    </row>
    <row r="24" customFormat="false" ht="15" hidden="false" customHeight="true" outlineLevel="0" collapsed="false">
      <c r="A24" s="17" t="s">
        <v>178</v>
      </c>
      <c r="B24" s="20" t="s">
        <v>165</v>
      </c>
      <c r="C24" s="20" t="s">
        <v>165</v>
      </c>
      <c r="D24" s="20" t="s">
        <v>165</v>
      </c>
      <c r="E24" s="18"/>
      <c r="F24" s="17"/>
    </row>
    <row r="25" customFormat="false" ht="15" hidden="false" customHeight="true" outlineLevel="0" collapsed="false">
      <c r="A25" s="13" t="s">
        <v>179</v>
      </c>
      <c r="B25" s="20" t="s">
        <v>165</v>
      </c>
      <c r="C25" s="20" t="s">
        <v>165</v>
      </c>
      <c r="D25" s="20" t="s">
        <v>165</v>
      </c>
      <c r="E25" s="15"/>
      <c r="F25" s="13"/>
    </row>
    <row r="26" customFormat="false" ht="3.75" hidden="false" customHeight="true" outlineLevel="0" collapsed="false"/>
    <row r="27" customFormat="false" ht="16.5" hidden="false" customHeight="true" outlineLevel="0" collapsed="false">
      <c r="A27" s="12" t="s">
        <v>180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true" outlineLevel="0" collapsed="false">
      <c r="A28" s="17" t="s">
        <v>181</v>
      </c>
      <c r="B28" s="20" t="s">
        <v>165</v>
      </c>
      <c r="C28" s="20" t="s">
        <v>165</v>
      </c>
      <c r="D28" s="20" t="s">
        <v>165</v>
      </c>
      <c r="E28" s="18"/>
      <c r="F28" s="17"/>
    </row>
    <row r="29" customFormat="false" ht="15" hidden="false" customHeight="true" outlineLevel="0" collapsed="false">
      <c r="A29" s="13" t="s">
        <v>182</v>
      </c>
      <c r="B29" s="20" t="s">
        <v>165</v>
      </c>
      <c r="C29" s="20" t="s">
        <v>165</v>
      </c>
      <c r="D29" s="20" t="s">
        <v>165</v>
      </c>
      <c r="E29" s="15"/>
      <c r="F29" s="13"/>
    </row>
    <row r="30" customFormat="false" ht="15" hidden="false" customHeight="true" outlineLevel="0" collapsed="false">
      <c r="A30" s="17" t="s">
        <v>183</v>
      </c>
      <c r="B30" s="20" t="s">
        <v>165</v>
      </c>
      <c r="C30" s="20" t="s">
        <v>165</v>
      </c>
      <c r="D30" s="20" t="s">
        <v>165</v>
      </c>
      <c r="E30" s="18"/>
      <c r="F30" s="17"/>
    </row>
    <row r="31" customFormat="false" ht="15" hidden="false" customHeight="true" outlineLevel="0" collapsed="false">
      <c r="A31" s="13" t="s">
        <v>184</v>
      </c>
      <c r="B31" s="20" t="s">
        <v>165</v>
      </c>
      <c r="C31" s="20" t="s">
        <v>165</v>
      </c>
      <c r="D31" s="20" t="s">
        <v>165</v>
      </c>
      <c r="E31" s="15"/>
      <c r="F31" s="13"/>
    </row>
    <row r="32" customFormat="false" ht="15" hidden="false" customHeight="true" outlineLevel="0" collapsed="false">
      <c r="A32" s="17" t="s">
        <v>185</v>
      </c>
      <c r="B32" s="20" t="s">
        <v>165</v>
      </c>
      <c r="C32" s="20" t="s">
        <v>165</v>
      </c>
      <c r="D32" s="20" t="s">
        <v>165</v>
      </c>
      <c r="E32" s="18"/>
      <c r="F32" s="17"/>
    </row>
    <row r="33" customFormat="false" ht="3.75" hidden="false" customHeight="true" outlineLevel="0" collapsed="false"/>
    <row r="34" customFormat="false" ht="16.5" hidden="false" customHeight="true" outlineLevel="0" collapsed="false">
      <c r="A34" s="12" t="s">
        <v>92</v>
      </c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true" outlineLevel="0" collapsed="false">
      <c r="A35" s="17" t="s">
        <v>186</v>
      </c>
      <c r="B35" s="20" t="s">
        <v>165</v>
      </c>
      <c r="C35" s="20" t="s">
        <v>165</v>
      </c>
      <c r="D35" s="20" t="s">
        <v>165</v>
      </c>
      <c r="E35" s="18"/>
      <c r="F35" s="17"/>
    </row>
    <row r="36" customFormat="false" ht="15" hidden="false" customHeight="true" outlineLevel="0" collapsed="false">
      <c r="A36" s="13" t="s">
        <v>187</v>
      </c>
      <c r="B36" s="20" t="s">
        <v>165</v>
      </c>
      <c r="C36" s="20" t="s">
        <v>165</v>
      </c>
      <c r="D36" s="20" t="s">
        <v>165</v>
      </c>
      <c r="E36" s="15"/>
      <c r="F36" s="13"/>
    </row>
    <row r="37" customFormat="false" ht="15" hidden="false" customHeight="true" outlineLevel="0" collapsed="false">
      <c r="A37" s="17" t="s">
        <v>188</v>
      </c>
      <c r="B37" s="20" t="s">
        <v>165</v>
      </c>
      <c r="C37" s="20" t="s">
        <v>165</v>
      </c>
      <c r="D37" s="20" t="s">
        <v>165</v>
      </c>
      <c r="E37" s="18"/>
      <c r="F37" s="17"/>
    </row>
    <row r="38" customFormat="false" ht="15" hidden="false" customHeight="true" outlineLevel="0" collapsed="false">
      <c r="A38" s="13" t="s">
        <v>189</v>
      </c>
      <c r="B38" s="20" t="s">
        <v>165</v>
      </c>
      <c r="C38" s="20" t="s">
        <v>165</v>
      </c>
      <c r="D38" s="20" t="s">
        <v>165</v>
      </c>
      <c r="E38" s="15"/>
      <c r="F38" s="13"/>
    </row>
    <row r="39" customFormat="false" ht="15" hidden="false" customHeight="true" outlineLevel="0" collapsed="false">
      <c r="A39" s="17" t="s">
        <v>190</v>
      </c>
      <c r="B39" s="20" t="s">
        <v>165</v>
      </c>
      <c r="C39" s="20" t="s">
        <v>165</v>
      </c>
      <c r="D39" s="20" t="s">
        <v>165</v>
      </c>
      <c r="E39" s="18"/>
      <c r="F39" s="17"/>
    </row>
    <row r="40" customFormat="false" ht="15" hidden="false" customHeight="true" outlineLevel="0" collapsed="false">
      <c r="A40" s="13" t="s">
        <v>191</v>
      </c>
      <c r="B40" s="20" t="s">
        <v>165</v>
      </c>
      <c r="C40" s="20" t="s">
        <v>165</v>
      </c>
      <c r="D40" s="20" t="s">
        <v>165</v>
      </c>
      <c r="E40" s="15"/>
      <c r="F40" s="13"/>
    </row>
    <row r="41" customFormat="false" ht="15" hidden="false" customHeight="true" outlineLevel="0" collapsed="false">
      <c r="A41" s="17" t="s">
        <v>192</v>
      </c>
      <c r="B41" s="20" t="s">
        <v>165</v>
      </c>
      <c r="C41" s="20" t="s">
        <v>165</v>
      </c>
      <c r="D41" s="20" t="s">
        <v>165</v>
      </c>
      <c r="E41" s="18"/>
      <c r="F41" s="17"/>
    </row>
    <row r="42" customFormat="false" ht="3.75" hidden="false" customHeight="true" outlineLevel="0" collapsed="false"/>
    <row r="43" customFormat="false" ht="16.5" hidden="false" customHeight="true" outlineLevel="0" collapsed="false">
      <c r="A43" s="12" t="s">
        <v>193</v>
      </c>
      <c r="B43" s="12"/>
      <c r="C43" s="12"/>
      <c r="D43" s="12"/>
      <c r="E43" s="12"/>
      <c r="F43" s="12"/>
      <c r="G43" s="12"/>
      <c r="H43" s="12"/>
      <c r="I43" s="12"/>
      <c r="J43" s="12"/>
    </row>
    <row r="44" customFormat="false" ht="15" hidden="false" customHeight="true" outlineLevel="0" collapsed="false">
      <c r="A44" s="17" t="s">
        <v>194</v>
      </c>
      <c r="B44" s="20" t="s">
        <v>165</v>
      </c>
      <c r="C44" s="20" t="s">
        <v>165</v>
      </c>
      <c r="D44" s="20" t="s">
        <v>165</v>
      </c>
      <c r="E44" s="18"/>
      <c r="F44" s="17"/>
    </row>
    <row r="45" customFormat="false" ht="15" hidden="false" customHeight="true" outlineLevel="0" collapsed="false">
      <c r="A45" s="13" t="s">
        <v>195</v>
      </c>
      <c r="B45" s="20" t="s">
        <v>165</v>
      </c>
      <c r="C45" s="20" t="s">
        <v>165</v>
      </c>
      <c r="D45" s="20" t="s">
        <v>165</v>
      </c>
      <c r="E45" s="15"/>
      <c r="F45" s="13"/>
    </row>
    <row r="46" customFormat="false" ht="15" hidden="false" customHeight="true" outlineLevel="0" collapsed="false">
      <c r="A46" s="17" t="s">
        <v>196</v>
      </c>
      <c r="B46" s="20" t="s">
        <v>165</v>
      </c>
      <c r="C46" s="20" t="s">
        <v>165</v>
      </c>
      <c r="D46" s="20" t="s">
        <v>165</v>
      </c>
      <c r="E46" s="18"/>
      <c r="F46" s="17"/>
    </row>
    <row r="47" customFormat="false" ht="15" hidden="false" customHeight="true" outlineLevel="0" collapsed="false">
      <c r="A47" s="13" t="s">
        <v>197</v>
      </c>
      <c r="B47" s="20" t="s">
        <v>165</v>
      </c>
      <c r="C47" s="20" t="s">
        <v>165</v>
      </c>
      <c r="D47" s="20" t="s">
        <v>165</v>
      </c>
      <c r="E47" s="15"/>
      <c r="F47" s="13"/>
    </row>
    <row r="48" customFormat="false" ht="15" hidden="false" customHeight="true" outlineLevel="0" collapsed="false">
      <c r="A48" s="17" t="s">
        <v>198</v>
      </c>
      <c r="B48" s="20" t="s">
        <v>165</v>
      </c>
      <c r="C48" s="20" t="s">
        <v>165</v>
      </c>
      <c r="D48" s="20" t="s">
        <v>165</v>
      </c>
      <c r="E48" s="18"/>
      <c r="F48" s="17"/>
    </row>
    <row r="49" customFormat="false" ht="15" hidden="false" customHeight="true" outlineLevel="0" collapsed="false">
      <c r="A49" s="13" t="s">
        <v>199</v>
      </c>
      <c r="B49" s="20" t="s">
        <v>165</v>
      </c>
      <c r="C49" s="20" t="s">
        <v>165</v>
      </c>
      <c r="D49" s="20" t="s">
        <v>165</v>
      </c>
      <c r="E49" s="15"/>
      <c r="F49" s="13"/>
    </row>
    <row r="50" customFormat="false" ht="15" hidden="false" customHeight="true" outlineLevel="0" collapsed="false">
      <c r="A50" s="17" t="s">
        <v>105</v>
      </c>
      <c r="B50" s="20" t="s">
        <v>165</v>
      </c>
      <c r="C50" s="20" t="s">
        <v>165</v>
      </c>
      <c r="D50" s="20" t="s">
        <v>165</v>
      </c>
      <c r="E50" s="18"/>
      <c r="F50" s="17"/>
    </row>
    <row r="51" customFormat="false" ht="15" hidden="false" customHeight="true" outlineLevel="0" collapsed="false">
      <c r="A51" s="13" t="s">
        <v>200</v>
      </c>
      <c r="B51" s="20" t="s">
        <v>165</v>
      </c>
      <c r="C51" s="20" t="s">
        <v>165</v>
      </c>
      <c r="D51" s="20" t="s">
        <v>165</v>
      </c>
      <c r="E51" s="15"/>
      <c r="F51" s="13"/>
    </row>
    <row r="52" customFormat="false" ht="15" hidden="false" customHeight="true" outlineLevel="0" collapsed="false">
      <c r="A52" s="17" t="s">
        <v>201</v>
      </c>
      <c r="B52" s="20" t="s">
        <v>165</v>
      </c>
      <c r="C52" s="20" t="s">
        <v>165</v>
      </c>
      <c r="D52" s="20" t="s">
        <v>165</v>
      </c>
      <c r="E52" s="18"/>
      <c r="F52" s="17"/>
    </row>
    <row r="53" customFormat="false" ht="3.75" hidden="false" customHeight="true" outlineLevel="0" collapsed="false"/>
    <row r="54" customFormat="false" ht="16.5" hidden="false" customHeight="true" outlineLevel="0" collapsed="false">
      <c r="A54" s="12" t="s">
        <v>110</v>
      </c>
      <c r="B54" s="12"/>
      <c r="C54" s="12"/>
      <c r="D54" s="12"/>
      <c r="E54" s="12"/>
      <c r="F54" s="12"/>
      <c r="G54" s="12"/>
      <c r="H54" s="12"/>
      <c r="I54" s="12"/>
      <c r="J54" s="12"/>
    </row>
    <row r="55" customFormat="false" ht="15" hidden="false" customHeight="true" outlineLevel="0" collapsed="false">
      <c r="A55" s="17" t="s">
        <v>111</v>
      </c>
      <c r="B55" s="20" t="s">
        <v>165</v>
      </c>
      <c r="C55" s="20" t="s">
        <v>165</v>
      </c>
      <c r="D55" s="20" t="s">
        <v>165</v>
      </c>
      <c r="E55" s="18"/>
      <c r="F55" s="17"/>
    </row>
    <row r="56" customFormat="false" ht="15" hidden="false" customHeight="true" outlineLevel="0" collapsed="false">
      <c r="A56" s="13" t="s">
        <v>112</v>
      </c>
      <c r="B56" s="20" t="s">
        <v>165</v>
      </c>
      <c r="C56" s="20" t="s">
        <v>165</v>
      </c>
      <c r="D56" s="20" t="s">
        <v>165</v>
      </c>
      <c r="E56" s="15"/>
      <c r="F56" s="13"/>
    </row>
    <row r="57" customFormat="false" ht="15" hidden="false" customHeight="true" outlineLevel="0" collapsed="false">
      <c r="A57" s="17" t="s">
        <v>113</v>
      </c>
      <c r="B57" s="20" t="s">
        <v>165</v>
      </c>
      <c r="C57" s="20" t="s">
        <v>165</v>
      </c>
      <c r="D57" s="20" t="s">
        <v>165</v>
      </c>
      <c r="E57" s="18"/>
      <c r="F57" s="17"/>
    </row>
    <row r="58" customFormat="false" ht="15" hidden="false" customHeight="true" outlineLevel="0" collapsed="false">
      <c r="A58" s="13" t="s">
        <v>202</v>
      </c>
      <c r="B58" s="20" t="s">
        <v>165</v>
      </c>
      <c r="C58" s="20" t="s">
        <v>165</v>
      </c>
      <c r="D58" s="20" t="s">
        <v>165</v>
      </c>
      <c r="E58" s="15"/>
      <c r="F58" s="13"/>
    </row>
    <row r="59" customFormat="false" ht="3.75" hidden="false" customHeight="true" outlineLevel="0" collapsed="false"/>
    <row r="60" customFormat="false" ht="16.5" hidden="false" customHeight="true" outlineLevel="0" collapsed="false">
      <c r="A60" s="12" t="s">
        <v>203</v>
      </c>
      <c r="B60" s="12"/>
      <c r="C60" s="12"/>
      <c r="D60" s="12"/>
      <c r="E60" s="12"/>
      <c r="F60" s="12"/>
      <c r="G60" s="12"/>
      <c r="H60" s="12"/>
      <c r="I60" s="12"/>
      <c r="J60" s="12"/>
    </row>
    <row r="61" customFormat="false" ht="15" hidden="false" customHeight="true" outlineLevel="0" collapsed="false">
      <c r="A61" s="17" t="s">
        <v>204</v>
      </c>
      <c r="B61" s="20" t="s">
        <v>165</v>
      </c>
      <c r="C61" s="20" t="s">
        <v>165</v>
      </c>
      <c r="D61" s="20" t="s">
        <v>165</v>
      </c>
      <c r="E61" s="18"/>
      <c r="F61" s="17"/>
    </row>
    <row r="62" customFormat="false" ht="15" hidden="false" customHeight="true" outlineLevel="0" collapsed="false">
      <c r="A62" s="13" t="s">
        <v>205</v>
      </c>
      <c r="B62" s="20" t="s">
        <v>165</v>
      </c>
      <c r="C62" s="20" t="s">
        <v>165</v>
      </c>
      <c r="D62" s="20" t="s">
        <v>165</v>
      </c>
      <c r="E62" s="15"/>
      <c r="F62" s="13"/>
    </row>
    <row r="63" customFormat="false" ht="15" hidden="false" customHeight="true" outlineLevel="0" collapsed="false">
      <c r="A63" s="17" t="s">
        <v>206</v>
      </c>
      <c r="B63" s="20" t="s">
        <v>165</v>
      </c>
      <c r="C63" s="20" t="s">
        <v>165</v>
      </c>
      <c r="D63" s="20" t="s">
        <v>165</v>
      </c>
      <c r="E63" s="18"/>
      <c r="F63" s="17"/>
    </row>
    <row r="64" customFormat="false" ht="15" hidden="false" customHeight="true" outlineLevel="0" collapsed="false">
      <c r="A64" s="13" t="s">
        <v>207</v>
      </c>
      <c r="B64" s="20" t="s">
        <v>165</v>
      </c>
      <c r="C64" s="20" t="s">
        <v>165</v>
      </c>
      <c r="D64" s="20" t="s">
        <v>165</v>
      </c>
      <c r="E64" s="15"/>
      <c r="F64" s="13"/>
    </row>
    <row r="65" customFormat="false" ht="15" hidden="false" customHeight="true" outlineLevel="0" collapsed="false">
      <c r="A65" s="17" t="s">
        <v>208</v>
      </c>
      <c r="B65" s="20" t="s">
        <v>165</v>
      </c>
      <c r="C65" s="20" t="s">
        <v>165</v>
      </c>
      <c r="D65" s="20" t="s">
        <v>165</v>
      </c>
      <c r="E65" s="18"/>
      <c r="F65" s="17"/>
    </row>
    <row r="66" customFormat="false" ht="15" hidden="false" customHeight="true" outlineLevel="0" collapsed="false">
      <c r="A66" s="13" t="s">
        <v>209</v>
      </c>
      <c r="B66" s="20" t="s">
        <v>165</v>
      </c>
      <c r="C66" s="20" t="s">
        <v>165</v>
      </c>
      <c r="D66" s="20" t="s">
        <v>165</v>
      </c>
      <c r="E66" s="15"/>
      <c r="F66" s="13"/>
    </row>
    <row r="67" customFormat="false" ht="15" hidden="false" customHeight="true" outlineLevel="0" collapsed="false">
      <c r="A67" s="17" t="s">
        <v>210</v>
      </c>
      <c r="B67" s="20" t="s">
        <v>165</v>
      </c>
      <c r="C67" s="20" t="s">
        <v>165</v>
      </c>
      <c r="D67" s="20" t="s">
        <v>165</v>
      </c>
      <c r="E67" s="18"/>
      <c r="F67" s="17"/>
    </row>
    <row r="68" customFormat="false" ht="3.75" hidden="false" customHeight="true" outlineLevel="0" collapsed="false"/>
    <row r="69" customFormat="false" ht="16.5" hidden="false" customHeight="true" outlineLevel="0" collapsed="false">
      <c r="A69" s="12" t="s">
        <v>211</v>
      </c>
      <c r="B69" s="12"/>
      <c r="C69" s="12"/>
      <c r="D69" s="12"/>
      <c r="E69" s="12"/>
      <c r="F69" s="12"/>
      <c r="G69" s="12"/>
      <c r="H69" s="12"/>
      <c r="I69" s="12"/>
      <c r="J69" s="12"/>
    </row>
    <row r="70" customFormat="false" ht="15" hidden="false" customHeight="true" outlineLevel="0" collapsed="false">
      <c r="A70" s="17" t="s">
        <v>212</v>
      </c>
      <c r="B70" s="20" t="s">
        <v>165</v>
      </c>
      <c r="C70" s="20" t="s">
        <v>165</v>
      </c>
      <c r="D70" s="20" t="s">
        <v>165</v>
      </c>
      <c r="E70" s="18"/>
      <c r="F70" s="17"/>
    </row>
    <row r="71" customFormat="false" ht="15" hidden="false" customHeight="true" outlineLevel="0" collapsed="false">
      <c r="A71" s="13" t="s">
        <v>213</v>
      </c>
      <c r="B71" s="20" t="s">
        <v>165</v>
      </c>
      <c r="C71" s="20" t="s">
        <v>165</v>
      </c>
      <c r="D71" s="20" t="s">
        <v>165</v>
      </c>
      <c r="E71" s="15"/>
      <c r="F71" s="13"/>
    </row>
    <row r="72" customFormat="false" ht="15" hidden="false" customHeight="true" outlineLevel="0" collapsed="false">
      <c r="A72" s="17" t="s">
        <v>214</v>
      </c>
      <c r="B72" s="20" t="s">
        <v>165</v>
      </c>
      <c r="C72" s="20" t="s">
        <v>165</v>
      </c>
      <c r="D72" s="20" t="s">
        <v>165</v>
      </c>
      <c r="E72" s="18"/>
      <c r="F72" s="17"/>
    </row>
    <row r="73" customFormat="false" ht="15" hidden="false" customHeight="true" outlineLevel="0" collapsed="false">
      <c r="A73" s="13" t="s">
        <v>215</v>
      </c>
      <c r="B73" s="20" t="s">
        <v>165</v>
      </c>
      <c r="C73" s="20" t="s">
        <v>165</v>
      </c>
      <c r="D73" s="20" t="s">
        <v>165</v>
      </c>
      <c r="E73" s="15"/>
      <c r="F73" s="13"/>
    </row>
    <row r="74" customFormat="false" ht="15" hidden="false" customHeight="true" outlineLevel="0" collapsed="false">
      <c r="A74" s="17" t="s">
        <v>216</v>
      </c>
      <c r="B74" s="20" t="s">
        <v>165</v>
      </c>
      <c r="C74" s="20" t="s">
        <v>165</v>
      </c>
      <c r="D74" s="20" t="s">
        <v>165</v>
      </c>
      <c r="E74" s="18"/>
      <c r="F74" s="17"/>
    </row>
    <row r="75" customFormat="false" ht="15" hidden="false" customHeight="true" outlineLevel="0" collapsed="false">
      <c r="A75" s="13" t="s">
        <v>217</v>
      </c>
      <c r="B75" s="20" t="s">
        <v>165</v>
      </c>
      <c r="C75" s="20" t="s">
        <v>165</v>
      </c>
      <c r="D75" s="20" t="s">
        <v>165</v>
      </c>
      <c r="E75" s="15"/>
      <c r="F75" s="13"/>
    </row>
    <row r="76" customFormat="false" ht="15" hidden="false" customHeight="true" outlineLevel="0" collapsed="false">
      <c r="A76" s="17" t="s">
        <v>218</v>
      </c>
      <c r="B76" s="20" t="s">
        <v>165</v>
      </c>
      <c r="C76" s="20" t="s">
        <v>165</v>
      </c>
      <c r="D76" s="20" t="s">
        <v>165</v>
      </c>
      <c r="E76" s="18"/>
      <c r="F76" s="17"/>
    </row>
    <row r="77" customFormat="false" ht="3.75" hidden="false" customHeight="true" outlineLevel="0" collapsed="false"/>
    <row r="78" customFormat="false" ht="21.75" hidden="false" customHeight="true" outlineLevel="0" collapsed="false">
      <c r="A78" s="5" t="s">
        <v>232</v>
      </c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.75" hidden="false" customHeight="true" outlineLevel="0" collapsed="false">
      <c r="A79" s="7" t="s">
        <v>220</v>
      </c>
      <c r="B79" s="7"/>
      <c r="C79" s="7"/>
      <c r="D79" s="7"/>
      <c r="E79" s="19"/>
    </row>
    <row r="80" customFormat="false" ht="15.75" hidden="false" customHeight="true" outlineLevel="0" collapsed="false">
      <c r="A80" s="7" t="s">
        <v>221</v>
      </c>
      <c r="B80" s="7"/>
      <c r="C80" s="7"/>
      <c r="D80" s="7"/>
      <c r="E80" s="19"/>
    </row>
    <row r="81" customFormat="false" ht="15.75" hidden="false" customHeight="true" outlineLevel="0" collapsed="false">
      <c r="A81" s="7" t="s">
        <v>222</v>
      </c>
      <c r="B81" s="7"/>
      <c r="C81" s="7"/>
      <c r="D81" s="7"/>
      <c r="E81" s="19"/>
    </row>
    <row r="82" customFormat="false" ht="15.75" hidden="false" customHeight="true" outlineLevel="0" collapsed="false">
      <c r="A82" s="7" t="s">
        <v>223</v>
      </c>
      <c r="B82" s="7"/>
      <c r="C82" s="7"/>
      <c r="D82" s="7"/>
      <c r="E82" s="19"/>
    </row>
    <row r="83" customFormat="false" ht="4.5" hidden="false" customHeight="true" outlineLevel="0" collapsed="false"/>
    <row r="84" customFormat="false" ht="16.5" hidden="false" customHeight="true" outlineLevel="0" collapsed="false">
      <c r="A84" s="12" t="s">
        <v>224</v>
      </c>
      <c r="B84" s="12"/>
      <c r="C84" s="12"/>
      <c r="D84" s="12"/>
      <c r="E84" s="12"/>
      <c r="F84" s="12"/>
      <c r="G84" s="12"/>
      <c r="H84" s="12"/>
      <c r="I84" s="12"/>
      <c r="J84" s="12"/>
    </row>
    <row r="85" customFormat="false" ht="19.5" hidden="false" customHeight="true" outlineLevel="0" collapsed="false">
      <c r="A85" s="7" t="s">
        <v>225</v>
      </c>
      <c r="B85" s="7"/>
      <c r="C85" s="7"/>
      <c r="D85" s="7"/>
      <c r="E85" s="21"/>
      <c r="F85" s="21"/>
      <c r="G85" s="21"/>
      <c r="H85" s="21"/>
      <c r="I85" s="21"/>
      <c r="J85" s="21"/>
    </row>
    <row r="86" customFormat="false" ht="19.5" hidden="false" customHeight="true" outlineLevel="0" collapsed="false">
      <c r="A86" s="7" t="s">
        <v>226</v>
      </c>
      <c r="B86" s="7"/>
      <c r="C86" s="7"/>
      <c r="D86" s="7"/>
      <c r="E86" s="21"/>
      <c r="F86" s="21"/>
      <c r="G86" s="21"/>
      <c r="H86" s="21"/>
      <c r="I86" s="21"/>
      <c r="J86" s="21"/>
    </row>
    <row r="87" customFormat="false" ht="19.5" hidden="false" customHeight="true" outlineLevel="0" collapsed="false">
      <c r="A87" s="7" t="s">
        <v>227</v>
      </c>
      <c r="B87" s="7"/>
      <c r="C87" s="7"/>
      <c r="D87" s="7"/>
      <c r="E87" s="21"/>
      <c r="F87" s="21"/>
      <c r="G87" s="21"/>
      <c r="H87" s="21"/>
      <c r="I87" s="21"/>
      <c r="J87" s="21"/>
    </row>
    <row r="88" customFormat="false" ht="19.5" hidden="false" customHeight="true" outlineLevel="0" collapsed="false">
      <c r="A88" s="7" t="s">
        <v>228</v>
      </c>
      <c r="B88" s="7"/>
      <c r="C88" s="7"/>
      <c r="D88" s="7"/>
      <c r="E88" s="21"/>
      <c r="F88" s="21"/>
      <c r="G88" s="21"/>
      <c r="H88" s="21"/>
      <c r="I88" s="21"/>
      <c r="J88" s="21"/>
    </row>
    <row r="89" customFormat="false" ht="4.5" hidden="false" customHeight="true" outlineLevel="0" collapsed="false"/>
    <row r="90" customFormat="false" ht="18" hidden="false" customHeight="true" outlineLevel="0" collapsed="false">
      <c r="A90" s="9" t="s">
        <v>53</v>
      </c>
      <c r="B90" s="9"/>
      <c r="C90" s="9"/>
      <c r="D90" s="9"/>
      <c r="E90" s="9"/>
      <c r="F90" s="9"/>
      <c r="G90" s="9"/>
      <c r="H90" s="9"/>
      <c r="I90" s="9"/>
      <c r="J90" s="9"/>
    </row>
  </sheetData>
  <mergeCells count="35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7:J17"/>
    <mergeCell ref="A27:J27"/>
    <mergeCell ref="A34:J34"/>
    <mergeCell ref="A43:J43"/>
    <mergeCell ref="A54:J54"/>
    <mergeCell ref="A60:J60"/>
    <mergeCell ref="A69:J69"/>
    <mergeCell ref="A78:J78"/>
    <mergeCell ref="A79:D79"/>
    <mergeCell ref="A80:D80"/>
    <mergeCell ref="A81:D81"/>
    <mergeCell ref="A82:D82"/>
    <mergeCell ref="A84:J84"/>
    <mergeCell ref="A85:D85"/>
    <mergeCell ref="E85:J85"/>
    <mergeCell ref="A86:D86"/>
    <mergeCell ref="E86:J86"/>
    <mergeCell ref="A87:D87"/>
    <mergeCell ref="E87:J87"/>
    <mergeCell ref="A88:D88"/>
    <mergeCell ref="E88:J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233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7" t="s">
        <v>153</v>
      </c>
      <c r="B3" s="7"/>
      <c r="C3" s="7"/>
      <c r="D3" s="8"/>
      <c r="E3" s="7" t="s">
        <v>8</v>
      </c>
      <c r="F3" s="7"/>
      <c r="G3" s="7"/>
      <c r="H3" s="8"/>
      <c r="I3" s="7" t="s">
        <v>154</v>
      </c>
      <c r="J3" s="7"/>
    </row>
    <row r="4" customFormat="false" ht="15" hidden="false" customHeight="true" outlineLevel="0" collapsed="false">
      <c r="A4" s="7" t="s">
        <v>155</v>
      </c>
      <c r="B4" s="7"/>
      <c r="C4" s="7"/>
      <c r="D4" s="8"/>
      <c r="E4" s="7" t="s">
        <v>11</v>
      </c>
      <c r="F4" s="7"/>
      <c r="G4" s="7"/>
      <c r="H4" s="8"/>
      <c r="I4" s="7" t="s">
        <v>9</v>
      </c>
      <c r="J4" s="7"/>
    </row>
    <row r="5" customFormat="false" ht="15" hidden="false" customHeight="true" outlineLevel="0" collapsed="false">
      <c r="A5" s="7" t="s">
        <v>17</v>
      </c>
      <c r="B5" s="7"/>
      <c r="C5" s="7"/>
      <c r="D5" s="8"/>
      <c r="E5" s="7" t="s">
        <v>156</v>
      </c>
      <c r="F5" s="7"/>
      <c r="G5" s="7"/>
      <c r="H5" s="8"/>
      <c r="I5" s="7" t="s">
        <v>10</v>
      </c>
      <c r="J5" s="7"/>
    </row>
    <row r="6" customFormat="false" ht="4.5" hidden="false" customHeight="true" outlineLevel="0" collapsed="false"/>
    <row r="7" customFormat="false" ht="18" hidden="false" customHeight="true" outlineLevel="0" collapsed="false">
      <c r="A7" s="11" t="s">
        <v>157</v>
      </c>
      <c r="B7" s="11" t="s">
        <v>158</v>
      </c>
      <c r="C7" s="11" t="s">
        <v>159</v>
      </c>
      <c r="D7" s="11" t="s">
        <v>160</v>
      </c>
      <c r="E7" s="11" t="s">
        <v>161</v>
      </c>
      <c r="F7" s="11" t="s">
        <v>162</v>
      </c>
    </row>
    <row r="8" customFormat="false" ht="16.5" hidden="false" customHeight="true" outlineLevel="0" collapsed="false">
      <c r="A8" s="12" t="s">
        <v>163</v>
      </c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true" outlineLevel="0" collapsed="false">
      <c r="A9" s="17" t="s">
        <v>164</v>
      </c>
      <c r="B9" s="20" t="s">
        <v>165</v>
      </c>
      <c r="C9" s="20" t="s">
        <v>165</v>
      </c>
      <c r="D9" s="20" t="s">
        <v>165</v>
      </c>
      <c r="E9" s="18"/>
      <c r="F9" s="17"/>
    </row>
    <row r="10" customFormat="false" ht="15" hidden="false" customHeight="true" outlineLevel="0" collapsed="false">
      <c r="A10" s="13" t="s">
        <v>166</v>
      </c>
      <c r="B10" s="20" t="s">
        <v>165</v>
      </c>
      <c r="C10" s="20" t="s">
        <v>165</v>
      </c>
      <c r="D10" s="20" t="s">
        <v>165</v>
      </c>
      <c r="E10" s="15"/>
      <c r="F10" s="13"/>
    </row>
    <row r="11" customFormat="false" ht="15" hidden="false" customHeight="true" outlineLevel="0" collapsed="false">
      <c r="A11" s="17" t="s">
        <v>167</v>
      </c>
      <c r="B11" s="20" t="s">
        <v>165</v>
      </c>
      <c r="C11" s="20" t="s">
        <v>165</v>
      </c>
      <c r="D11" s="20" t="s">
        <v>165</v>
      </c>
      <c r="E11" s="18"/>
      <c r="F11" s="17"/>
    </row>
    <row r="12" customFormat="false" ht="15" hidden="false" customHeight="true" outlineLevel="0" collapsed="false">
      <c r="A12" s="13" t="s">
        <v>168</v>
      </c>
      <c r="B12" s="20" t="s">
        <v>165</v>
      </c>
      <c r="C12" s="20" t="s">
        <v>165</v>
      </c>
      <c r="D12" s="20" t="s">
        <v>165</v>
      </c>
      <c r="E12" s="15"/>
      <c r="F12" s="13"/>
    </row>
    <row r="13" customFormat="false" ht="15" hidden="false" customHeight="true" outlineLevel="0" collapsed="false">
      <c r="A13" s="17" t="s">
        <v>76</v>
      </c>
      <c r="B13" s="20" t="s">
        <v>165</v>
      </c>
      <c r="C13" s="20" t="s">
        <v>165</v>
      </c>
      <c r="D13" s="20" t="s">
        <v>165</v>
      </c>
      <c r="E13" s="18"/>
      <c r="F13" s="17"/>
    </row>
    <row r="14" customFormat="false" ht="15" hidden="false" customHeight="true" outlineLevel="0" collapsed="false">
      <c r="A14" s="13" t="s">
        <v>169</v>
      </c>
      <c r="B14" s="20" t="s">
        <v>165</v>
      </c>
      <c r="C14" s="20" t="s">
        <v>165</v>
      </c>
      <c r="D14" s="20" t="s">
        <v>165</v>
      </c>
      <c r="E14" s="15"/>
      <c r="F14" s="13"/>
    </row>
    <row r="15" customFormat="false" ht="15" hidden="false" customHeight="true" outlineLevel="0" collapsed="false">
      <c r="A15" s="17" t="s">
        <v>170</v>
      </c>
      <c r="B15" s="20" t="s">
        <v>165</v>
      </c>
      <c r="C15" s="20" t="s">
        <v>165</v>
      </c>
      <c r="D15" s="20" t="s">
        <v>165</v>
      </c>
      <c r="E15" s="18"/>
      <c r="F15" s="17"/>
    </row>
    <row r="16" customFormat="false" ht="3.75" hidden="false" customHeight="true" outlineLevel="0" collapsed="false"/>
    <row r="17" customFormat="false" ht="16.5" hidden="false" customHeight="true" outlineLevel="0" collapsed="false">
      <c r="A17" s="12" t="s">
        <v>171</v>
      </c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true" outlineLevel="0" collapsed="false">
      <c r="A18" s="17" t="s">
        <v>172</v>
      </c>
      <c r="B18" s="20" t="s">
        <v>165</v>
      </c>
      <c r="C18" s="20" t="s">
        <v>165</v>
      </c>
      <c r="D18" s="20" t="s">
        <v>165</v>
      </c>
      <c r="E18" s="18"/>
      <c r="F18" s="17"/>
    </row>
    <row r="19" customFormat="false" ht="15" hidden="false" customHeight="true" outlineLevel="0" collapsed="false">
      <c r="A19" s="13" t="s">
        <v>173</v>
      </c>
      <c r="B19" s="20" t="s">
        <v>165</v>
      </c>
      <c r="C19" s="20" t="s">
        <v>165</v>
      </c>
      <c r="D19" s="20" t="s">
        <v>165</v>
      </c>
      <c r="E19" s="15"/>
      <c r="F19" s="13"/>
    </row>
    <row r="20" customFormat="false" ht="15" hidden="false" customHeight="true" outlineLevel="0" collapsed="false">
      <c r="A20" s="17" t="s">
        <v>174</v>
      </c>
      <c r="B20" s="20" t="s">
        <v>165</v>
      </c>
      <c r="C20" s="20" t="s">
        <v>165</v>
      </c>
      <c r="D20" s="20" t="s">
        <v>165</v>
      </c>
      <c r="E20" s="18"/>
      <c r="F20" s="17"/>
    </row>
    <row r="21" customFormat="false" ht="15" hidden="false" customHeight="true" outlineLevel="0" collapsed="false">
      <c r="A21" s="13" t="s">
        <v>175</v>
      </c>
      <c r="B21" s="20" t="s">
        <v>165</v>
      </c>
      <c r="C21" s="20" t="s">
        <v>165</v>
      </c>
      <c r="D21" s="20" t="s">
        <v>165</v>
      </c>
      <c r="E21" s="15"/>
      <c r="F21" s="13"/>
    </row>
    <row r="22" customFormat="false" ht="15" hidden="false" customHeight="true" outlineLevel="0" collapsed="false">
      <c r="A22" s="17" t="s">
        <v>176</v>
      </c>
      <c r="B22" s="20" t="s">
        <v>165</v>
      </c>
      <c r="C22" s="20" t="s">
        <v>165</v>
      </c>
      <c r="D22" s="20" t="s">
        <v>165</v>
      </c>
      <c r="E22" s="18"/>
      <c r="F22" s="17"/>
    </row>
    <row r="23" customFormat="false" ht="15" hidden="false" customHeight="true" outlineLevel="0" collapsed="false">
      <c r="A23" s="13" t="s">
        <v>177</v>
      </c>
      <c r="B23" s="20" t="s">
        <v>165</v>
      </c>
      <c r="C23" s="20" t="s">
        <v>165</v>
      </c>
      <c r="D23" s="20" t="s">
        <v>165</v>
      </c>
      <c r="E23" s="15"/>
      <c r="F23" s="13"/>
    </row>
    <row r="24" customFormat="false" ht="15" hidden="false" customHeight="true" outlineLevel="0" collapsed="false">
      <c r="A24" s="17" t="s">
        <v>178</v>
      </c>
      <c r="B24" s="20" t="s">
        <v>165</v>
      </c>
      <c r="C24" s="20" t="s">
        <v>165</v>
      </c>
      <c r="D24" s="20" t="s">
        <v>165</v>
      </c>
      <c r="E24" s="18"/>
      <c r="F24" s="17"/>
    </row>
    <row r="25" customFormat="false" ht="15" hidden="false" customHeight="true" outlineLevel="0" collapsed="false">
      <c r="A25" s="13" t="s">
        <v>179</v>
      </c>
      <c r="B25" s="20" t="s">
        <v>165</v>
      </c>
      <c r="C25" s="20" t="s">
        <v>165</v>
      </c>
      <c r="D25" s="20" t="s">
        <v>165</v>
      </c>
      <c r="E25" s="15"/>
      <c r="F25" s="13"/>
    </row>
    <row r="26" customFormat="false" ht="3.75" hidden="false" customHeight="true" outlineLevel="0" collapsed="false"/>
    <row r="27" customFormat="false" ht="16.5" hidden="false" customHeight="true" outlineLevel="0" collapsed="false">
      <c r="A27" s="12" t="s">
        <v>180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true" outlineLevel="0" collapsed="false">
      <c r="A28" s="17" t="s">
        <v>181</v>
      </c>
      <c r="B28" s="20" t="s">
        <v>165</v>
      </c>
      <c r="C28" s="20" t="s">
        <v>165</v>
      </c>
      <c r="D28" s="20" t="s">
        <v>165</v>
      </c>
      <c r="E28" s="18"/>
      <c r="F28" s="17"/>
    </row>
    <row r="29" customFormat="false" ht="15" hidden="false" customHeight="true" outlineLevel="0" collapsed="false">
      <c r="A29" s="13" t="s">
        <v>182</v>
      </c>
      <c r="B29" s="20" t="s">
        <v>165</v>
      </c>
      <c r="C29" s="20" t="s">
        <v>165</v>
      </c>
      <c r="D29" s="20" t="s">
        <v>165</v>
      </c>
      <c r="E29" s="15"/>
      <c r="F29" s="13"/>
    </row>
    <row r="30" customFormat="false" ht="15" hidden="false" customHeight="true" outlineLevel="0" collapsed="false">
      <c r="A30" s="17" t="s">
        <v>183</v>
      </c>
      <c r="B30" s="20" t="s">
        <v>165</v>
      </c>
      <c r="C30" s="20" t="s">
        <v>165</v>
      </c>
      <c r="D30" s="20" t="s">
        <v>165</v>
      </c>
      <c r="E30" s="18"/>
      <c r="F30" s="17"/>
    </row>
    <row r="31" customFormat="false" ht="15" hidden="false" customHeight="true" outlineLevel="0" collapsed="false">
      <c r="A31" s="13" t="s">
        <v>184</v>
      </c>
      <c r="B31" s="20" t="s">
        <v>165</v>
      </c>
      <c r="C31" s="20" t="s">
        <v>165</v>
      </c>
      <c r="D31" s="20" t="s">
        <v>165</v>
      </c>
      <c r="E31" s="15"/>
      <c r="F31" s="13"/>
    </row>
    <row r="32" customFormat="false" ht="15" hidden="false" customHeight="true" outlineLevel="0" collapsed="false">
      <c r="A32" s="17" t="s">
        <v>185</v>
      </c>
      <c r="B32" s="20" t="s">
        <v>165</v>
      </c>
      <c r="C32" s="20" t="s">
        <v>165</v>
      </c>
      <c r="D32" s="20" t="s">
        <v>165</v>
      </c>
      <c r="E32" s="18"/>
      <c r="F32" s="17"/>
    </row>
    <row r="33" customFormat="false" ht="3.75" hidden="false" customHeight="true" outlineLevel="0" collapsed="false"/>
    <row r="34" customFormat="false" ht="16.5" hidden="false" customHeight="true" outlineLevel="0" collapsed="false">
      <c r="A34" s="12" t="s">
        <v>92</v>
      </c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5" hidden="false" customHeight="true" outlineLevel="0" collapsed="false">
      <c r="A35" s="17" t="s">
        <v>186</v>
      </c>
      <c r="B35" s="20" t="s">
        <v>165</v>
      </c>
      <c r="C35" s="20" t="s">
        <v>165</v>
      </c>
      <c r="D35" s="20" t="s">
        <v>165</v>
      </c>
      <c r="E35" s="18"/>
      <c r="F35" s="17"/>
    </row>
    <row r="36" customFormat="false" ht="15" hidden="false" customHeight="true" outlineLevel="0" collapsed="false">
      <c r="A36" s="13" t="s">
        <v>187</v>
      </c>
      <c r="B36" s="20" t="s">
        <v>165</v>
      </c>
      <c r="C36" s="20" t="s">
        <v>165</v>
      </c>
      <c r="D36" s="20" t="s">
        <v>165</v>
      </c>
      <c r="E36" s="15"/>
      <c r="F36" s="13"/>
    </row>
    <row r="37" customFormat="false" ht="15" hidden="false" customHeight="true" outlineLevel="0" collapsed="false">
      <c r="A37" s="17" t="s">
        <v>188</v>
      </c>
      <c r="B37" s="20" t="s">
        <v>165</v>
      </c>
      <c r="C37" s="20" t="s">
        <v>165</v>
      </c>
      <c r="D37" s="20" t="s">
        <v>165</v>
      </c>
      <c r="E37" s="18"/>
      <c r="F37" s="17"/>
    </row>
    <row r="38" customFormat="false" ht="15" hidden="false" customHeight="true" outlineLevel="0" collapsed="false">
      <c r="A38" s="13" t="s">
        <v>189</v>
      </c>
      <c r="B38" s="20" t="s">
        <v>165</v>
      </c>
      <c r="C38" s="20" t="s">
        <v>165</v>
      </c>
      <c r="D38" s="20" t="s">
        <v>165</v>
      </c>
      <c r="E38" s="15"/>
      <c r="F38" s="13"/>
    </row>
    <row r="39" customFormat="false" ht="15" hidden="false" customHeight="true" outlineLevel="0" collapsed="false">
      <c r="A39" s="17" t="s">
        <v>190</v>
      </c>
      <c r="B39" s="20" t="s">
        <v>165</v>
      </c>
      <c r="C39" s="20" t="s">
        <v>165</v>
      </c>
      <c r="D39" s="20" t="s">
        <v>165</v>
      </c>
      <c r="E39" s="18"/>
      <c r="F39" s="17"/>
    </row>
    <row r="40" customFormat="false" ht="15" hidden="false" customHeight="true" outlineLevel="0" collapsed="false">
      <c r="A40" s="13" t="s">
        <v>191</v>
      </c>
      <c r="B40" s="20" t="s">
        <v>165</v>
      </c>
      <c r="C40" s="20" t="s">
        <v>165</v>
      </c>
      <c r="D40" s="20" t="s">
        <v>165</v>
      </c>
      <c r="E40" s="15"/>
      <c r="F40" s="13"/>
    </row>
    <row r="41" customFormat="false" ht="15" hidden="false" customHeight="true" outlineLevel="0" collapsed="false">
      <c r="A41" s="17" t="s">
        <v>192</v>
      </c>
      <c r="B41" s="20" t="s">
        <v>165</v>
      </c>
      <c r="C41" s="20" t="s">
        <v>165</v>
      </c>
      <c r="D41" s="20" t="s">
        <v>165</v>
      </c>
      <c r="E41" s="18"/>
      <c r="F41" s="17"/>
    </row>
    <row r="42" customFormat="false" ht="3.75" hidden="false" customHeight="true" outlineLevel="0" collapsed="false"/>
    <row r="43" customFormat="false" ht="16.5" hidden="false" customHeight="true" outlineLevel="0" collapsed="false">
      <c r="A43" s="12" t="s">
        <v>193</v>
      </c>
      <c r="B43" s="12"/>
      <c r="C43" s="12"/>
      <c r="D43" s="12"/>
      <c r="E43" s="12"/>
      <c r="F43" s="12"/>
      <c r="G43" s="12"/>
      <c r="H43" s="12"/>
      <c r="I43" s="12"/>
      <c r="J43" s="12"/>
    </row>
    <row r="44" customFormat="false" ht="15" hidden="false" customHeight="true" outlineLevel="0" collapsed="false">
      <c r="A44" s="17" t="s">
        <v>194</v>
      </c>
      <c r="B44" s="20" t="s">
        <v>165</v>
      </c>
      <c r="C44" s="20" t="s">
        <v>165</v>
      </c>
      <c r="D44" s="20" t="s">
        <v>165</v>
      </c>
      <c r="E44" s="18"/>
      <c r="F44" s="17"/>
    </row>
    <row r="45" customFormat="false" ht="15" hidden="false" customHeight="true" outlineLevel="0" collapsed="false">
      <c r="A45" s="13" t="s">
        <v>195</v>
      </c>
      <c r="B45" s="20" t="s">
        <v>165</v>
      </c>
      <c r="C45" s="20" t="s">
        <v>165</v>
      </c>
      <c r="D45" s="20" t="s">
        <v>165</v>
      </c>
      <c r="E45" s="15"/>
      <c r="F45" s="13"/>
    </row>
    <row r="46" customFormat="false" ht="15" hidden="false" customHeight="true" outlineLevel="0" collapsed="false">
      <c r="A46" s="17" t="s">
        <v>196</v>
      </c>
      <c r="B46" s="20" t="s">
        <v>165</v>
      </c>
      <c r="C46" s="20" t="s">
        <v>165</v>
      </c>
      <c r="D46" s="20" t="s">
        <v>165</v>
      </c>
      <c r="E46" s="18"/>
      <c r="F46" s="17"/>
    </row>
    <row r="47" customFormat="false" ht="15" hidden="false" customHeight="true" outlineLevel="0" collapsed="false">
      <c r="A47" s="13" t="s">
        <v>197</v>
      </c>
      <c r="B47" s="20" t="s">
        <v>165</v>
      </c>
      <c r="C47" s="20" t="s">
        <v>165</v>
      </c>
      <c r="D47" s="20" t="s">
        <v>165</v>
      </c>
      <c r="E47" s="15"/>
      <c r="F47" s="13"/>
    </row>
    <row r="48" customFormat="false" ht="15" hidden="false" customHeight="true" outlineLevel="0" collapsed="false">
      <c r="A48" s="17" t="s">
        <v>198</v>
      </c>
      <c r="B48" s="20" t="s">
        <v>165</v>
      </c>
      <c r="C48" s="20" t="s">
        <v>165</v>
      </c>
      <c r="D48" s="20" t="s">
        <v>165</v>
      </c>
      <c r="E48" s="18"/>
      <c r="F48" s="17"/>
    </row>
    <row r="49" customFormat="false" ht="15" hidden="false" customHeight="true" outlineLevel="0" collapsed="false">
      <c r="A49" s="13" t="s">
        <v>199</v>
      </c>
      <c r="B49" s="20" t="s">
        <v>165</v>
      </c>
      <c r="C49" s="20" t="s">
        <v>165</v>
      </c>
      <c r="D49" s="20" t="s">
        <v>165</v>
      </c>
      <c r="E49" s="15"/>
      <c r="F49" s="13"/>
    </row>
    <row r="50" customFormat="false" ht="15" hidden="false" customHeight="true" outlineLevel="0" collapsed="false">
      <c r="A50" s="17" t="s">
        <v>105</v>
      </c>
      <c r="B50" s="20" t="s">
        <v>165</v>
      </c>
      <c r="C50" s="20" t="s">
        <v>165</v>
      </c>
      <c r="D50" s="20" t="s">
        <v>165</v>
      </c>
      <c r="E50" s="18"/>
      <c r="F50" s="17"/>
    </row>
    <row r="51" customFormat="false" ht="15" hidden="false" customHeight="true" outlineLevel="0" collapsed="false">
      <c r="A51" s="13" t="s">
        <v>200</v>
      </c>
      <c r="B51" s="20" t="s">
        <v>165</v>
      </c>
      <c r="C51" s="20" t="s">
        <v>165</v>
      </c>
      <c r="D51" s="20" t="s">
        <v>165</v>
      </c>
      <c r="E51" s="15"/>
      <c r="F51" s="13"/>
    </row>
    <row r="52" customFormat="false" ht="15" hidden="false" customHeight="true" outlineLevel="0" collapsed="false">
      <c r="A52" s="17" t="s">
        <v>201</v>
      </c>
      <c r="B52" s="20" t="s">
        <v>165</v>
      </c>
      <c r="C52" s="20" t="s">
        <v>165</v>
      </c>
      <c r="D52" s="20" t="s">
        <v>165</v>
      </c>
      <c r="E52" s="18"/>
      <c r="F52" s="17"/>
    </row>
    <row r="53" customFormat="false" ht="3.75" hidden="false" customHeight="true" outlineLevel="0" collapsed="false"/>
    <row r="54" customFormat="false" ht="16.5" hidden="false" customHeight="true" outlineLevel="0" collapsed="false">
      <c r="A54" s="12" t="s">
        <v>110</v>
      </c>
      <c r="B54" s="12"/>
      <c r="C54" s="12"/>
      <c r="D54" s="12"/>
      <c r="E54" s="12"/>
      <c r="F54" s="12"/>
      <c r="G54" s="12"/>
      <c r="H54" s="12"/>
      <c r="I54" s="12"/>
      <c r="J54" s="12"/>
    </row>
    <row r="55" customFormat="false" ht="15" hidden="false" customHeight="true" outlineLevel="0" collapsed="false">
      <c r="A55" s="17" t="s">
        <v>111</v>
      </c>
      <c r="B55" s="20" t="s">
        <v>165</v>
      </c>
      <c r="C55" s="20" t="s">
        <v>165</v>
      </c>
      <c r="D55" s="20" t="s">
        <v>165</v>
      </c>
      <c r="E55" s="18"/>
      <c r="F55" s="17"/>
    </row>
    <row r="56" customFormat="false" ht="15" hidden="false" customHeight="true" outlineLevel="0" collapsed="false">
      <c r="A56" s="13" t="s">
        <v>112</v>
      </c>
      <c r="B56" s="20" t="s">
        <v>165</v>
      </c>
      <c r="C56" s="20" t="s">
        <v>165</v>
      </c>
      <c r="D56" s="20" t="s">
        <v>165</v>
      </c>
      <c r="E56" s="15"/>
      <c r="F56" s="13"/>
    </row>
    <row r="57" customFormat="false" ht="15" hidden="false" customHeight="true" outlineLevel="0" collapsed="false">
      <c r="A57" s="17" t="s">
        <v>113</v>
      </c>
      <c r="B57" s="20" t="s">
        <v>165</v>
      </c>
      <c r="C57" s="20" t="s">
        <v>165</v>
      </c>
      <c r="D57" s="20" t="s">
        <v>165</v>
      </c>
      <c r="E57" s="18"/>
      <c r="F57" s="17"/>
    </row>
    <row r="58" customFormat="false" ht="15" hidden="false" customHeight="true" outlineLevel="0" collapsed="false">
      <c r="A58" s="13" t="s">
        <v>202</v>
      </c>
      <c r="B58" s="20" t="s">
        <v>165</v>
      </c>
      <c r="C58" s="20" t="s">
        <v>165</v>
      </c>
      <c r="D58" s="20" t="s">
        <v>165</v>
      </c>
      <c r="E58" s="15"/>
      <c r="F58" s="13"/>
    </row>
    <row r="59" customFormat="false" ht="3.75" hidden="false" customHeight="true" outlineLevel="0" collapsed="false"/>
    <row r="60" customFormat="false" ht="16.5" hidden="false" customHeight="true" outlineLevel="0" collapsed="false">
      <c r="A60" s="12" t="s">
        <v>203</v>
      </c>
      <c r="B60" s="12"/>
      <c r="C60" s="12"/>
      <c r="D60" s="12"/>
      <c r="E60" s="12"/>
      <c r="F60" s="12"/>
      <c r="G60" s="12"/>
      <c r="H60" s="12"/>
      <c r="I60" s="12"/>
      <c r="J60" s="12"/>
    </row>
    <row r="61" customFormat="false" ht="15" hidden="false" customHeight="true" outlineLevel="0" collapsed="false">
      <c r="A61" s="17" t="s">
        <v>204</v>
      </c>
      <c r="B61" s="20" t="s">
        <v>165</v>
      </c>
      <c r="C61" s="20" t="s">
        <v>165</v>
      </c>
      <c r="D61" s="20" t="s">
        <v>165</v>
      </c>
      <c r="E61" s="18"/>
      <c r="F61" s="17"/>
    </row>
    <row r="62" customFormat="false" ht="15" hidden="false" customHeight="true" outlineLevel="0" collapsed="false">
      <c r="A62" s="13" t="s">
        <v>205</v>
      </c>
      <c r="B62" s="20" t="s">
        <v>165</v>
      </c>
      <c r="C62" s="20" t="s">
        <v>165</v>
      </c>
      <c r="D62" s="20" t="s">
        <v>165</v>
      </c>
      <c r="E62" s="15"/>
      <c r="F62" s="13"/>
    </row>
    <row r="63" customFormat="false" ht="15" hidden="false" customHeight="true" outlineLevel="0" collapsed="false">
      <c r="A63" s="17" t="s">
        <v>206</v>
      </c>
      <c r="B63" s="20" t="s">
        <v>165</v>
      </c>
      <c r="C63" s="20" t="s">
        <v>165</v>
      </c>
      <c r="D63" s="20" t="s">
        <v>165</v>
      </c>
      <c r="E63" s="18"/>
      <c r="F63" s="17"/>
    </row>
    <row r="64" customFormat="false" ht="15" hidden="false" customHeight="true" outlineLevel="0" collapsed="false">
      <c r="A64" s="13" t="s">
        <v>207</v>
      </c>
      <c r="B64" s="20" t="s">
        <v>165</v>
      </c>
      <c r="C64" s="20" t="s">
        <v>165</v>
      </c>
      <c r="D64" s="20" t="s">
        <v>165</v>
      </c>
      <c r="E64" s="15"/>
      <c r="F64" s="13"/>
    </row>
    <row r="65" customFormat="false" ht="15" hidden="false" customHeight="true" outlineLevel="0" collapsed="false">
      <c r="A65" s="17" t="s">
        <v>208</v>
      </c>
      <c r="B65" s="20" t="s">
        <v>165</v>
      </c>
      <c r="C65" s="20" t="s">
        <v>165</v>
      </c>
      <c r="D65" s="20" t="s">
        <v>165</v>
      </c>
      <c r="E65" s="18"/>
      <c r="F65" s="17"/>
    </row>
    <row r="66" customFormat="false" ht="15" hidden="false" customHeight="true" outlineLevel="0" collapsed="false">
      <c r="A66" s="13" t="s">
        <v>209</v>
      </c>
      <c r="B66" s="20" t="s">
        <v>165</v>
      </c>
      <c r="C66" s="20" t="s">
        <v>165</v>
      </c>
      <c r="D66" s="20" t="s">
        <v>165</v>
      </c>
      <c r="E66" s="15"/>
      <c r="F66" s="13"/>
    </row>
    <row r="67" customFormat="false" ht="15" hidden="false" customHeight="true" outlineLevel="0" collapsed="false">
      <c r="A67" s="17" t="s">
        <v>210</v>
      </c>
      <c r="B67" s="20" t="s">
        <v>165</v>
      </c>
      <c r="C67" s="20" t="s">
        <v>165</v>
      </c>
      <c r="D67" s="20" t="s">
        <v>165</v>
      </c>
      <c r="E67" s="18"/>
      <c r="F67" s="17"/>
    </row>
    <row r="68" customFormat="false" ht="3.75" hidden="false" customHeight="true" outlineLevel="0" collapsed="false"/>
    <row r="69" customFormat="false" ht="16.5" hidden="false" customHeight="true" outlineLevel="0" collapsed="false">
      <c r="A69" s="12" t="s">
        <v>211</v>
      </c>
      <c r="B69" s="12"/>
      <c r="C69" s="12"/>
      <c r="D69" s="12"/>
      <c r="E69" s="12"/>
      <c r="F69" s="12"/>
      <c r="G69" s="12"/>
      <c r="H69" s="12"/>
      <c r="I69" s="12"/>
      <c r="J69" s="12"/>
    </row>
    <row r="70" customFormat="false" ht="15" hidden="false" customHeight="true" outlineLevel="0" collapsed="false">
      <c r="A70" s="17" t="s">
        <v>212</v>
      </c>
      <c r="B70" s="20" t="s">
        <v>165</v>
      </c>
      <c r="C70" s="20" t="s">
        <v>165</v>
      </c>
      <c r="D70" s="20" t="s">
        <v>165</v>
      </c>
      <c r="E70" s="18"/>
      <c r="F70" s="17"/>
    </row>
    <row r="71" customFormat="false" ht="15" hidden="false" customHeight="true" outlineLevel="0" collapsed="false">
      <c r="A71" s="13" t="s">
        <v>213</v>
      </c>
      <c r="B71" s="20" t="s">
        <v>165</v>
      </c>
      <c r="C71" s="20" t="s">
        <v>165</v>
      </c>
      <c r="D71" s="20" t="s">
        <v>165</v>
      </c>
      <c r="E71" s="15"/>
      <c r="F71" s="13"/>
    </row>
    <row r="72" customFormat="false" ht="15" hidden="false" customHeight="true" outlineLevel="0" collapsed="false">
      <c r="A72" s="17" t="s">
        <v>214</v>
      </c>
      <c r="B72" s="20" t="s">
        <v>165</v>
      </c>
      <c r="C72" s="20" t="s">
        <v>165</v>
      </c>
      <c r="D72" s="20" t="s">
        <v>165</v>
      </c>
      <c r="E72" s="18"/>
      <c r="F72" s="17"/>
    </row>
    <row r="73" customFormat="false" ht="15" hidden="false" customHeight="true" outlineLevel="0" collapsed="false">
      <c r="A73" s="13" t="s">
        <v>215</v>
      </c>
      <c r="B73" s="20" t="s">
        <v>165</v>
      </c>
      <c r="C73" s="20" t="s">
        <v>165</v>
      </c>
      <c r="D73" s="20" t="s">
        <v>165</v>
      </c>
      <c r="E73" s="15"/>
      <c r="F73" s="13"/>
    </row>
    <row r="74" customFormat="false" ht="15" hidden="false" customHeight="true" outlineLevel="0" collapsed="false">
      <c r="A74" s="17" t="s">
        <v>216</v>
      </c>
      <c r="B74" s="20" t="s">
        <v>165</v>
      </c>
      <c r="C74" s="20" t="s">
        <v>165</v>
      </c>
      <c r="D74" s="20" t="s">
        <v>165</v>
      </c>
      <c r="E74" s="18"/>
      <c r="F74" s="17"/>
    </row>
    <row r="75" customFormat="false" ht="15" hidden="false" customHeight="true" outlineLevel="0" collapsed="false">
      <c r="A75" s="13" t="s">
        <v>217</v>
      </c>
      <c r="B75" s="20" t="s">
        <v>165</v>
      </c>
      <c r="C75" s="20" t="s">
        <v>165</v>
      </c>
      <c r="D75" s="20" t="s">
        <v>165</v>
      </c>
      <c r="E75" s="15"/>
      <c r="F75" s="13"/>
    </row>
    <row r="76" customFormat="false" ht="15" hidden="false" customHeight="true" outlineLevel="0" collapsed="false">
      <c r="A76" s="17" t="s">
        <v>218</v>
      </c>
      <c r="B76" s="20" t="s">
        <v>165</v>
      </c>
      <c r="C76" s="20" t="s">
        <v>165</v>
      </c>
      <c r="D76" s="20" t="s">
        <v>165</v>
      </c>
      <c r="E76" s="18"/>
      <c r="F76" s="17"/>
    </row>
    <row r="77" customFormat="false" ht="3.75" hidden="false" customHeight="true" outlineLevel="0" collapsed="false"/>
    <row r="78" customFormat="false" ht="21.75" hidden="false" customHeight="true" outlineLevel="0" collapsed="false">
      <c r="A78" s="5" t="s">
        <v>234</v>
      </c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.75" hidden="false" customHeight="true" outlineLevel="0" collapsed="false">
      <c r="A79" s="7" t="s">
        <v>220</v>
      </c>
      <c r="B79" s="7"/>
      <c r="C79" s="7"/>
      <c r="D79" s="7"/>
      <c r="E79" s="19"/>
    </row>
    <row r="80" customFormat="false" ht="15.75" hidden="false" customHeight="true" outlineLevel="0" collapsed="false">
      <c r="A80" s="7" t="s">
        <v>221</v>
      </c>
      <c r="B80" s="7"/>
      <c r="C80" s="7"/>
      <c r="D80" s="7"/>
      <c r="E80" s="19"/>
    </row>
    <row r="81" customFormat="false" ht="15.75" hidden="false" customHeight="true" outlineLevel="0" collapsed="false">
      <c r="A81" s="7" t="s">
        <v>222</v>
      </c>
      <c r="B81" s="7"/>
      <c r="C81" s="7"/>
      <c r="D81" s="7"/>
      <c r="E81" s="19"/>
    </row>
    <row r="82" customFormat="false" ht="15.75" hidden="false" customHeight="true" outlineLevel="0" collapsed="false">
      <c r="A82" s="7" t="s">
        <v>223</v>
      </c>
      <c r="B82" s="7"/>
      <c r="C82" s="7"/>
      <c r="D82" s="7"/>
      <c r="E82" s="19"/>
    </row>
    <row r="83" customFormat="false" ht="4.5" hidden="false" customHeight="true" outlineLevel="0" collapsed="false"/>
    <row r="84" customFormat="false" ht="16.5" hidden="false" customHeight="true" outlineLevel="0" collapsed="false">
      <c r="A84" s="12" t="s">
        <v>224</v>
      </c>
      <c r="B84" s="12"/>
      <c r="C84" s="12"/>
      <c r="D84" s="12"/>
      <c r="E84" s="12"/>
      <c r="F84" s="12"/>
      <c r="G84" s="12"/>
      <c r="H84" s="12"/>
      <c r="I84" s="12"/>
      <c r="J84" s="12"/>
    </row>
    <row r="85" customFormat="false" ht="19.5" hidden="false" customHeight="true" outlineLevel="0" collapsed="false">
      <c r="A85" s="7" t="s">
        <v>225</v>
      </c>
      <c r="B85" s="7"/>
      <c r="C85" s="7"/>
      <c r="D85" s="7"/>
      <c r="E85" s="21"/>
      <c r="F85" s="21"/>
      <c r="G85" s="21"/>
      <c r="H85" s="21"/>
      <c r="I85" s="21"/>
      <c r="J85" s="21"/>
    </row>
    <row r="86" customFormat="false" ht="19.5" hidden="false" customHeight="true" outlineLevel="0" collapsed="false">
      <c r="A86" s="7" t="s">
        <v>226</v>
      </c>
      <c r="B86" s="7"/>
      <c r="C86" s="7"/>
      <c r="D86" s="7"/>
      <c r="E86" s="21"/>
      <c r="F86" s="21"/>
      <c r="G86" s="21"/>
      <c r="H86" s="21"/>
      <c r="I86" s="21"/>
      <c r="J86" s="21"/>
    </row>
    <row r="87" customFormat="false" ht="19.5" hidden="false" customHeight="true" outlineLevel="0" collapsed="false">
      <c r="A87" s="7" t="s">
        <v>227</v>
      </c>
      <c r="B87" s="7"/>
      <c r="C87" s="7"/>
      <c r="D87" s="7"/>
      <c r="E87" s="21"/>
      <c r="F87" s="21"/>
      <c r="G87" s="21"/>
      <c r="H87" s="21"/>
      <c r="I87" s="21"/>
      <c r="J87" s="21"/>
    </row>
    <row r="88" customFormat="false" ht="19.5" hidden="false" customHeight="true" outlineLevel="0" collapsed="false">
      <c r="A88" s="7" t="s">
        <v>228</v>
      </c>
      <c r="B88" s="7"/>
      <c r="C88" s="7"/>
      <c r="D88" s="7"/>
      <c r="E88" s="21"/>
      <c r="F88" s="21"/>
      <c r="G88" s="21"/>
      <c r="H88" s="21"/>
      <c r="I88" s="21"/>
      <c r="J88" s="21"/>
    </row>
    <row r="89" customFormat="false" ht="4.5" hidden="false" customHeight="true" outlineLevel="0" collapsed="false"/>
    <row r="90" customFormat="false" ht="18" hidden="false" customHeight="true" outlineLevel="0" collapsed="false">
      <c r="A90" s="9" t="s">
        <v>53</v>
      </c>
      <c r="B90" s="9"/>
      <c r="C90" s="9"/>
      <c r="D90" s="9"/>
      <c r="E90" s="9"/>
      <c r="F90" s="9"/>
      <c r="G90" s="9"/>
      <c r="H90" s="9"/>
      <c r="I90" s="9"/>
      <c r="J90" s="9"/>
    </row>
  </sheetData>
  <mergeCells count="35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7:J17"/>
    <mergeCell ref="A27:J27"/>
    <mergeCell ref="A34:J34"/>
    <mergeCell ref="A43:J43"/>
    <mergeCell ref="A54:J54"/>
    <mergeCell ref="A60:J60"/>
    <mergeCell ref="A69:J69"/>
    <mergeCell ref="A78:J78"/>
    <mergeCell ref="A79:D79"/>
    <mergeCell ref="A80:D80"/>
    <mergeCell ref="A81:D81"/>
    <mergeCell ref="A82:D82"/>
    <mergeCell ref="A84:J84"/>
    <mergeCell ref="A85:D85"/>
    <mergeCell ref="E85:J85"/>
    <mergeCell ref="A86:D86"/>
    <mergeCell ref="E86:J86"/>
    <mergeCell ref="A87:D87"/>
    <mergeCell ref="E87:J87"/>
    <mergeCell ref="A88:D88"/>
    <mergeCell ref="E88:J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235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8" hidden="false" customHeight="true" outlineLevel="0" collapsed="false">
      <c r="A3" s="11" t="s">
        <v>236</v>
      </c>
      <c r="B3" s="11" t="s">
        <v>237</v>
      </c>
      <c r="C3" s="11" t="s">
        <v>57</v>
      </c>
      <c r="D3" s="11" t="s">
        <v>238</v>
      </c>
      <c r="E3" s="11" t="s">
        <v>58</v>
      </c>
      <c r="F3" s="11" t="s">
        <v>239</v>
      </c>
      <c r="G3" s="11" t="s">
        <v>59</v>
      </c>
      <c r="H3" s="11" t="s">
        <v>240</v>
      </c>
      <c r="I3" s="11" t="s">
        <v>60</v>
      </c>
      <c r="J3" s="11" t="s">
        <v>241</v>
      </c>
    </row>
    <row r="4" customFormat="false" ht="15" hidden="false" customHeight="true" outlineLevel="0" collapsed="false">
      <c r="A4" s="22" t="s">
        <v>242</v>
      </c>
      <c r="B4" s="15"/>
      <c r="C4" s="15"/>
      <c r="D4" s="15"/>
      <c r="E4" s="15"/>
      <c r="F4" s="15"/>
      <c r="G4" s="15"/>
      <c r="H4" s="15"/>
      <c r="I4" s="15"/>
      <c r="J4" s="15" t="s">
        <v>243</v>
      </c>
    </row>
    <row r="5" customFormat="false" ht="15" hidden="false" customHeight="true" outlineLevel="0" collapsed="false">
      <c r="A5" s="22" t="s">
        <v>244</v>
      </c>
      <c r="B5" s="18"/>
      <c r="C5" s="18"/>
      <c r="D5" s="18"/>
      <c r="E5" s="18"/>
      <c r="F5" s="18"/>
      <c r="G5" s="18"/>
      <c r="H5" s="18"/>
      <c r="I5" s="18"/>
      <c r="J5" s="18" t="s">
        <v>245</v>
      </c>
    </row>
    <row r="6" customFormat="false" ht="15" hidden="false" customHeight="true" outlineLevel="0" collapsed="false">
      <c r="A6" s="22" t="s">
        <v>246</v>
      </c>
      <c r="B6" s="15"/>
      <c r="C6" s="15"/>
      <c r="D6" s="15"/>
      <c r="E6" s="15"/>
      <c r="F6" s="15"/>
      <c r="G6" s="15"/>
      <c r="H6" s="15"/>
      <c r="I6" s="15"/>
      <c r="J6" s="15" t="s">
        <v>247</v>
      </c>
    </row>
    <row r="7" customFormat="false" ht="15" hidden="false" customHeight="true" outlineLevel="0" collapsed="false">
      <c r="A7" s="22" t="s">
        <v>248</v>
      </c>
      <c r="B7" s="18"/>
      <c r="C7" s="18"/>
      <c r="D7" s="18"/>
      <c r="E7" s="18"/>
      <c r="F7" s="18"/>
      <c r="G7" s="18"/>
      <c r="H7" s="18"/>
      <c r="I7" s="18"/>
      <c r="J7" s="18" t="s">
        <v>247</v>
      </c>
    </row>
    <row r="8" customFormat="false" ht="15" hidden="false" customHeight="true" outlineLevel="0" collapsed="false">
      <c r="A8" s="22" t="s">
        <v>249</v>
      </c>
      <c r="B8" s="15"/>
      <c r="C8" s="15"/>
      <c r="D8" s="15"/>
      <c r="E8" s="15"/>
      <c r="F8" s="15"/>
      <c r="G8" s="15"/>
      <c r="H8" s="15"/>
      <c r="I8" s="15"/>
      <c r="J8" s="15" t="s">
        <v>250</v>
      </c>
    </row>
    <row r="9" customFormat="false" ht="15" hidden="false" customHeight="true" outlineLevel="0" collapsed="false">
      <c r="A9" s="22" t="s">
        <v>251</v>
      </c>
      <c r="B9" s="18"/>
      <c r="C9" s="18"/>
      <c r="D9" s="18"/>
      <c r="E9" s="18"/>
      <c r="F9" s="18"/>
      <c r="G9" s="18"/>
      <c r="H9" s="18"/>
      <c r="I9" s="18"/>
      <c r="J9" s="18" t="s">
        <v>250</v>
      </c>
    </row>
    <row r="10" customFormat="false" ht="15" hidden="false" customHeight="true" outlineLevel="0" collapsed="false">
      <c r="A10" s="22" t="s">
        <v>252</v>
      </c>
      <c r="B10" s="15"/>
      <c r="C10" s="15"/>
      <c r="D10" s="15"/>
      <c r="E10" s="15"/>
      <c r="F10" s="15"/>
      <c r="G10" s="15"/>
      <c r="H10" s="15"/>
      <c r="I10" s="15"/>
      <c r="J10" s="15" t="s">
        <v>250</v>
      </c>
    </row>
    <row r="11" customFormat="false" ht="15" hidden="false" customHeight="true" outlineLevel="0" collapsed="false">
      <c r="A11" s="22" t="s">
        <v>253</v>
      </c>
      <c r="B11" s="18"/>
      <c r="C11" s="18"/>
      <c r="D11" s="18"/>
      <c r="E11" s="18"/>
      <c r="F11" s="18"/>
      <c r="G11" s="18"/>
      <c r="H11" s="18"/>
      <c r="I11" s="18"/>
      <c r="J11" s="18" t="s">
        <v>254</v>
      </c>
    </row>
    <row r="12" customFormat="false" ht="15" hidden="false" customHeight="true" outlineLevel="0" collapsed="false">
      <c r="A12" s="22" t="s">
        <v>255</v>
      </c>
      <c r="B12" s="15"/>
      <c r="C12" s="15"/>
      <c r="D12" s="15"/>
      <c r="E12" s="15"/>
      <c r="F12" s="15"/>
      <c r="G12" s="15"/>
      <c r="H12" s="15"/>
      <c r="I12" s="15"/>
      <c r="J12" s="15" t="s">
        <v>250</v>
      </c>
    </row>
    <row r="13" customFormat="false" ht="15" hidden="false" customHeight="true" outlineLevel="0" collapsed="false">
      <c r="A13" s="22" t="s">
        <v>256</v>
      </c>
      <c r="B13" s="18"/>
      <c r="C13" s="18"/>
      <c r="D13" s="18"/>
      <c r="E13" s="18"/>
      <c r="F13" s="18"/>
      <c r="G13" s="18"/>
      <c r="H13" s="18"/>
      <c r="I13" s="18"/>
      <c r="J13" s="18" t="s">
        <v>257</v>
      </c>
    </row>
    <row r="14" customFormat="false" ht="15" hidden="false" customHeight="true" outlineLevel="0" collapsed="false">
      <c r="A14" s="22" t="s">
        <v>258</v>
      </c>
      <c r="B14" s="15"/>
      <c r="C14" s="15"/>
      <c r="D14" s="15"/>
      <c r="E14" s="15"/>
      <c r="F14" s="15"/>
      <c r="G14" s="15"/>
      <c r="H14" s="15"/>
      <c r="I14" s="15"/>
      <c r="J14" s="15" t="s">
        <v>259</v>
      </c>
    </row>
    <row r="15" customFormat="false" ht="15" hidden="false" customHeight="true" outlineLevel="0" collapsed="false">
      <c r="A15" s="22" t="s">
        <v>260</v>
      </c>
      <c r="B15" s="18"/>
      <c r="C15" s="18"/>
      <c r="D15" s="18"/>
      <c r="E15" s="18"/>
      <c r="F15" s="18"/>
      <c r="G15" s="18"/>
      <c r="H15" s="18"/>
      <c r="I15" s="18"/>
      <c r="J15" s="18" t="s">
        <v>245</v>
      </c>
    </row>
    <row r="16" customFormat="false" ht="15" hidden="false" customHeight="true" outlineLevel="0" collapsed="false">
      <c r="A16" s="22" t="s">
        <v>261</v>
      </c>
      <c r="B16" s="15"/>
      <c r="C16" s="15"/>
      <c r="D16" s="15"/>
      <c r="E16" s="15"/>
      <c r="F16" s="15"/>
      <c r="G16" s="15"/>
      <c r="H16" s="15"/>
      <c r="I16" s="15"/>
      <c r="J16" s="15" t="s">
        <v>245</v>
      </c>
    </row>
    <row r="17" customFormat="false" ht="15" hidden="false" customHeight="true" outlineLevel="0" collapsed="false">
      <c r="A17" s="22" t="s">
        <v>262</v>
      </c>
      <c r="B17" s="18"/>
      <c r="C17" s="18"/>
      <c r="D17" s="18"/>
      <c r="E17" s="18"/>
      <c r="F17" s="18"/>
      <c r="G17" s="18"/>
      <c r="H17" s="18"/>
      <c r="I17" s="18"/>
      <c r="J17" s="18" t="s">
        <v>245</v>
      </c>
    </row>
    <row r="18" customFormat="false" ht="15" hidden="false" customHeight="true" outlineLevel="0" collapsed="false">
      <c r="A18" s="22" t="s">
        <v>263</v>
      </c>
      <c r="B18" s="15"/>
      <c r="C18" s="15"/>
      <c r="D18" s="15"/>
      <c r="E18" s="15"/>
      <c r="F18" s="15"/>
      <c r="G18" s="15"/>
      <c r="H18" s="15"/>
      <c r="I18" s="15"/>
      <c r="J18" s="15" t="s">
        <v>245</v>
      </c>
    </row>
    <row r="19" customFormat="false" ht="15" hidden="false" customHeight="true" outlineLevel="0" collapsed="false">
      <c r="A19" s="22" t="s">
        <v>264</v>
      </c>
      <c r="B19" s="18"/>
      <c r="C19" s="18"/>
      <c r="D19" s="18"/>
      <c r="E19" s="18"/>
      <c r="F19" s="18"/>
      <c r="G19" s="18"/>
      <c r="H19" s="18"/>
      <c r="I19" s="18"/>
      <c r="J19" s="18" t="s">
        <v>265</v>
      </c>
    </row>
    <row r="20" customFormat="false" ht="15" hidden="false" customHeight="true" outlineLevel="0" collapsed="false">
      <c r="A20" s="22" t="s">
        <v>266</v>
      </c>
      <c r="B20" s="15"/>
      <c r="C20" s="15"/>
      <c r="D20" s="15"/>
      <c r="E20" s="15"/>
      <c r="F20" s="15"/>
      <c r="G20" s="15"/>
      <c r="H20" s="15"/>
      <c r="I20" s="15"/>
      <c r="J20" s="15" t="s">
        <v>267</v>
      </c>
    </row>
    <row r="21" customFormat="false" ht="15" hidden="false" customHeight="true" outlineLevel="0" collapsed="false">
      <c r="A21" s="22" t="s">
        <v>268</v>
      </c>
      <c r="B21" s="18"/>
      <c r="C21" s="18"/>
      <c r="D21" s="18"/>
      <c r="E21" s="18"/>
      <c r="F21" s="18"/>
      <c r="G21" s="18"/>
      <c r="H21" s="18"/>
      <c r="I21" s="18"/>
      <c r="J21" s="18" t="s">
        <v>267</v>
      </c>
    </row>
    <row r="22" customFormat="false" ht="15" hidden="false" customHeight="true" outlineLevel="0" collapsed="false">
      <c r="A22" s="22" t="s">
        <v>269</v>
      </c>
      <c r="B22" s="15"/>
      <c r="C22" s="15"/>
      <c r="D22" s="15"/>
      <c r="E22" s="15"/>
      <c r="F22" s="15"/>
      <c r="G22" s="15"/>
      <c r="H22" s="15"/>
      <c r="I22" s="15"/>
      <c r="J22" s="15" t="s">
        <v>267</v>
      </c>
    </row>
    <row r="23" customFormat="false" ht="15" hidden="false" customHeight="true" outlineLevel="0" collapsed="false">
      <c r="A23" s="22" t="s">
        <v>270</v>
      </c>
      <c r="B23" s="18"/>
      <c r="C23" s="18"/>
      <c r="D23" s="18"/>
      <c r="E23" s="18"/>
      <c r="F23" s="18"/>
      <c r="G23" s="18"/>
      <c r="H23" s="18"/>
      <c r="I23" s="18"/>
      <c r="J23" s="18" t="s">
        <v>267</v>
      </c>
    </row>
    <row r="24" customFormat="false" ht="15" hidden="false" customHeight="true" outlineLevel="0" collapsed="false">
      <c r="A24" s="22" t="s">
        <v>271</v>
      </c>
      <c r="B24" s="15"/>
      <c r="C24" s="15"/>
      <c r="D24" s="15"/>
      <c r="E24" s="15"/>
      <c r="F24" s="15"/>
      <c r="G24" s="15"/>
      <c r="H24" s="15"/>
      <c r="I24" s="15"/>
      <c r="J24" s="15" t="s">
        <v>267</v>
      </c>
    </row>
    <row r="25" customFormat="false" ht="15" hidden="false" customHeight="true" outlineLevel="0" collapsed="false">
      <c r="A25" s="22" t="s">
        <v>272</v>
      </c>
      <c r="B25" s="18"/>
      <c r="C25" s="18"/>
      <c r="D25" s="18"/>
      <c r="E25" s="18"/>
      <c r="F25" s="18"/>
      <c r="G25" s="18"/>
      <c r="H25" s="18"/>
      <c r="I25" s="18"/>
      <c r="J25" s="18" t="s">
        <v>273</v>
      </c>
    </row>
    <row r="26" customFormat="false" ht="15" hidden="false" customHeight="true" outlineLevel="0" collapsed="false">
      <c r="A26" s="22" t="s">
        <v>274</v>
      </c>
      <c r="B26" s="15"/>
      <c r="C26" s="15"/>
      <c r="D26" s="15"/>
      <c r="E26" s="15"/>
      <c r="F26" s="15"/>
      <c r="G26" s="15"/>
      <c r="H26" s="15"/>
      <c r="I26" s="15"/>
      <c r="J26" s="15" t="s">
        <v>273</v>
      </c>
    </row>
    <row r="27" customFormat="false" ht="15" hidden="false" customHeight="true" outlineLevel="0" collapsed="false">
      <c r="A27" s="22" t="s">
        <v>275</v>
      </c>
      <c r="B27" s="18"/>
      <c r="C27" s="18"/>
      <c r="D27" s="18"/>
      <c r="E27" s="18"/>
      <c r="F27" s="18"/>
      <c r="G27" s="18"/>
      <c r="H27" s="18"/>
      <c r="I27" s="18"/>
      <c r="J27" s="18" t="s">
        <v>276</v>
      </c>
    </row>
    <row r="28" customFormat="false" ht="4.5" hidden="false" customHeight="true" outlineLevel="0" collapsed="false"/>
    <row r="29" customFormat="false" ht="21.75" hidden="false" customHeight="true" outlineLevel="0" collapsed="false">
      <c r="A29" s="5" t="s">
        <v>277</v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8" hidden="false" customHeight="true" outlineLevel="0" collapsed="false">
      <c r="A30" s="11" t="s">
        <v>278</v>
      </c>
      <c r="B30" s="11" t="s">
        <v>279</v>
      </c>
      <c r="C30" s="11" t="s">
        <v>280</v>
      </c>
      <c r="D30" s="11" t="s">
        <v>281</v>
      </c>
      <c r="E30" s="11" t="s">
        <v>282</v>
      </c>
      <c r="F30" s="11" t="s">
        <v>283</v>
      </c>
      <c r="G30" s="11" t="s">
        <v>284</v>
      </c>
      <c r="H30" s="11" t="s">
        <v>74</v>
      </c>
    </row>
    <row r="31" customFormat="false" ht="15" hidden="false" customHeight="true" outlineLevel="0" collapsed="false">
      <c r="A31" s="15" t="s">
        <v>285</v>
      </c>
      <c r="B31" s="15"/>
      <c r="C31" s="15"/>
      <c r="D31" s="15"/>
      <c r="E31" s="15" t="str">
        <f aca="false">IF(AND(C31="",D31=""),"",IF(C31="",0,C31)-IF(D31="",0,D31))</f>
        <v/>
      </c>
      <c r="F31" s="15"/>
      <c r="G31" s="15"/>
      <c r="H31" s="15"/>
    </row>
    <row r="32" customFormat="false" ht="15" hidden="false" customHeight="true" outlineLevel="0" collapsed="false">
      <c r="A32" s="18" t="s">
        <v>286</v>
      </c>
      <c r="B32" s="18"/>
      <c r="C32" s="18"/>
      <c r="D32" s="18"/>
      <c r="E32" s="18" t="str">
        <f aca="false">IF(AND(C32="",D32=""),"",IF(C32="",0,C32)-IF(D32="",0,D32))</f>
        <v/>
      </c>
      <c r="F32" s="18"/>
      <c r="G32" s="18"/>
      <c r="H32" s="18"/>
    </row>
    <row r="33" customFormat="false" ht="15" hidden="false" customHeight="true" outlineLevel="0" collapsed="false">
      <c r="A33" s="15" t="s">
        <v>287</v>
      </c>
      <c r="B33" s="15"/>
      <c r="C33" s="15"/>
      <c r="D33" s="15"/>
      <c r="E33" s="15" t="str">
        <f aca="false">IF(AND(C33="",D33=""),"",IF(C33="",0,C33)-IF(D33="",0,D33))</f>
        <v/>
      </c>
      <c r="F33" s="15"/>
      <c r="G33" s="15"/>
      <c r="H33" s="15"/>
    </row>
    <row r="34" customFormat="false" ht="15" hidden="false" customHeight="true" outlineLevel="0" collapsed="false">
      <c r="A34" s="18" t="s">
        <v>288</v>
      </c>
      <c r="B34" s="18"/>
      <c r="C34" s="18"/>
      <c r="D34" s="18"/>
      <c r="E34" s="18" t="str">
        <f aca="false">IF(AND(C34="",D34=""),"",IF(C34="",0,C34)-IF(D34="",0,D34))</f>
        <v/>
      </c>
      <c r="F34" s="18"/>
      <c r="G34" s="18"/>
      <c r="H34" s="18"/>
    </row>
    <row r="35" customFormat="false" ht="4.5" hidden="false" customHeight="true" outlineLevel="0" collapsed="false"/>
    <row r="36" customFormat="false" ht="18" hidden="false" customHeight="true" outlineLevel="0" collapsed="false">
      <c r="A36" s="9" t="s">
        <v>53</v>
      </c>
      <c r="B36" s="9"/>
      <c r="C36" s="9"/>
      <c r="D36" s="9"/>
      <c r="E36" s="9"/>
      <c r="F36" s="9"/>
      <c r="G36" s="9"/>
      <c r="H36" s="9"/>
      <c r="I36" s="9"/>
      <c r="J36" s="9"/>
    </row>
  </sheetData>
  <mergeCells count="5">
    <mergeCell ref="A1:E1"/>
    <mergeCell ref="F1:J1"/>
    <mergeCell ref="A2:J2"/>
    <mergeCell ref="A29:J29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289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8" hidden="false" customHeight="true" outlineLevel="0" collapsed="false">
      <c r="A3" s="11" t="s">
        <v>236</v>
      </c>
      <c r="B3" s="11" t="s">
        <v>237</v>
      </c>
      <c r="C3" s="11" t="s">
        <v>57</v>
      </c>
      <c r="D3" s="11" t="s">
        <v>238</v>
      </c>
      <c r="E3" s="11" t="s">
        <v>58</v>
      </c>
      <c r="F3" s="11" t="s">
        <v>239</v>
      </c>
      <c r="G3" s="11" t="s">
        <v>59</v>
      </c>
      <c r="H3" s="11" t="s">
        <v>240</v>
      </c>
      <c r="I3" s="11" t="s">
        <v>60</v>
      </c>
      <c r="J3" s="11" t="s">
        <v>241</v>
      </c>
    </row>
    <row r="4" customFormat="false" ht="15" hidden="false" customHeight="true" outlineLevel="0" collapsed="false">
      <c r="A4" s="22" t="s">
        <v>290</v>
      </c>
      <c r="B4" s="15"/>
      <c r="C4" s="15"/>
      <c r="D4" s="15"/>
      <c r="E4" s="15"/>
      <c r="F4" s="15"/>
      <c r="G4" s="15"/>
      <c r="H4" s="15"/>
      <c r="I4" s="15"/>
      <c r="J4" s="15" t="s">
        <v>273</v>
      </c>
    </row>
    <row r="5" customFormat="false" ht="15" hidden="false" customHeight="true" outlineLevel="0" collapsed="false">
      <c r="A5" s="22" t="s">
        <v>291</v>
      </c>
      <c r="B5" s="18"/>
      <c r="C5" s="18"/>
      <c r="D5" s="18"/>
      <c r="E5" s="18"/>
      <c r="F5" s="18"/>
      <c r="G5" s="18"/>
      <c r="H5" s="18"/>
      <c r="I5" s="18"/>
      <c r="J5" s="18" t="s">
        <v>273</v>
      </c>
    </row>
    <row r="6" customFormat="false" ht="15" hidden="false" customHeight="true" outlineLevel="0" collapsed="false">
      <c r="A6" s="22" t="s">
        <v>292</v>
      </c>
      <c r="B6" s="15"/>
      <c r="C6" s="15"/>
      <c r="D6" s="15"/>
      <c r="E6" s="15"/>
      <c r="F6" s="15"/>
      <c r="G6" s="15"/>
      <c r="H6" s="15"/>
      <c r="I6" s="15"/>
      <c r="J6" s="15" t="s">
        <v>273</v>
      </c>
    </row>
    <row r="7" customFormat="false" ht="15" hidden="false" customHeight="true" outlineLevel="0" collapsed="false">
      <c r="A7" s="22" t="s">
        <v>275</v>
      </c>
      <c r="B7" s="18"/>
      <c r="C7" s="18"/>
      <c r="D7" s="18"/>
      <c r="E7" s="18"/>
      <c r="F7" s="18"/>
      <c r="G7" s="18"/>
      <c r="H7" s="18"/>
      <c r="I7" s="18"/>
      <c r="J7" s="18" t="s">
        <v>276</v>
      </c>
    </row>
    <row r="8" customFormat="false" ht="15" hidden="false" customHeight="true" outlineLevel="0" collapsed="false">
      <c r="A8" s="22" t="s">
        <v>293</v>
      </c>
      <c r="B8" s="15"/>
      <c r="C8" s="15"/>
      <c r="D8" s="15"/>
      <c r="E8" s="15"/>
      <c r="F8" s="15"/>
      <c r="G8" s="15"/>
      <c r="H8" s="15"/>
      <c r="I8" s="15"/>
      <c r="J8" s="15" t="s">
        <v>294</v>
      </c>
    </row>
    <row r="9" customFormat="false" ht="15" hidden="false" customHeight="true" outlineLevel="0" collapsed="false">
      <c r="A9" s="22" t="s">
        <v>271</v>
      </c>
      <c r="B9" s="18"/>
      <c r="C9" s="18"/>
      <c r="D9" s="18"/>
      <c r="E9" s="18"/>
      <c r="F9" s="18"/>
      <c r="G9" s="18"/>
      <c r="H9" s="18"/>
      <c r="I9" s="18"/>
      <c r="J9" s="18" t="s">
        <v>267</v>
      </c>
    </row>
    <row r="10" customFormat="false" ht="15" hidden="false" customHeight="true" outlineLevel="0" collapsed="false">
      <c r="A10" s="22" t="s">
        <v>295</v>
      </c>
      <c r="B10" s="15"/>
      <c r="C10" s="15"/>
      <c r="D10" s="15"/>
      <c r="E10" s="15"/>
      <c r="F10" s="15"/>
      <c r="G10" s="15"/>
      <c r="H10" s="15"/>
      <c r="I10" s="15"/>
      <c r="J10" s="15" t="s">
        <v>267</v>
      </c>
    </row>
    <row r="11" customFormat="false" ht="15" hidden="false" customHeight="true" outlineLevel="0" collapsed="false">
      <c r="A11" s="22" t="s">
        <v>296</v>
      </c>
      <c r="B11" s="18"/>
      <c r="C11" s="18"/>
      <c r="D11" s="18"/>
      <c r="E11" s="18"/>
      <c r="F11" s="18"/>
      <c r="G11" s="18"/>
      <c r="H11" s="18"/>
      <c r="I11" s="18"/>
      <c r="J11" s="18" t="s">
        <v>267</v>
      </c>
    </row>
    <row r="12" customFormat="false" ht="15" hidden="false" customHeight="true" outlineLevel="0" collapsed="false">
      <c r="A12" s="22" t="s">
        <v>297</v>
      </c>
      <c r="B12" s="15"/>
      <c r="C12" s="15"/>
      <c r="D12" s="15"/>
      <c r="E12" s="15"/>
      <c r="F12" s="15"/>
      <c r="G12" s="15"/>
      <c r="H12" s="15"/>
      <c r="I12" s="15"/>
      <c r="J12" s="15" t="s">
        <v>294</v>
      </c>
    </row>
    <row r="13" customFormat="false" ht="15" hidden="false" customHeight="true" outlineLevel="0" collapsed="false">
      <c r="A13" s="22" t="s">
        <v>270</v>
      </c>
      <c r="B13" s="18"/>
      <c r="C13" s="18"/>
      <c r="D13" s="18"/>
      <c r="E13" s="18"/>
      <c r="F13" s="18"/>
      <c r="G13" s="18"/>
      <c r="H13" s="18"/>
      <c r="I13" s="18"/>
      <c r="J13" s="18" t="s">
        <v>267</v>
      </c>
    </row>
    <row r="14" customFormat="false" ht="15" hidden="false" customHeight="true" outlineLevel="0" collapsed="false">
      <c r="A14" s="22" t="s">
        <v>298</v>
      </c>
      <c r="B14" s="15"/>
      <c r="C14" s="15"/>
      <c r="D14" s="15"/>
      <c r="E14" s="15"/>
      <c r="F14" s="15"/>
      <c r="G14" s="15"/>
      <c r="H14" s="15"/>
      <c r="I14" s="15"/>
      <c r="J14" s="15" t="s">
        <v>294</v>
      </c>
    </row>
    <row r="15" customFormat="false" ht="15" hidden="false" customHeight="true" outlineLevel="0" collapsed="false">
      <c r="A15" s="22" t="s">
        <v>266</v>
      </c>
      <c r="B15" s="18"/>
      <c r="C15" s="18"/>
      <c r="D15" s="18"/>
      <c r="E15" s="18"/>
      <c r="F15" s="18"/>
      <c r="G15" s="18"/>
      <c r="H15" s="18"/>
      <c r="I15" s="18"/>
      <c r="J15" s="18" t="s">
        <v>267</v>
      </c>
    </row>
    <row r="16" customFormat="false" ht="15" hidden="false" customHeight="true" outlineLevel="0" collapsed="false">
      <c r="A16" s="22" t="s">
        <v>268</v>
      </c>
      <c r="B16" s="15"/>
      <c r="C16" s="15"/>
      <c r="D16" s="15"/>
      <c r="E16" s="15"/>
      <c r="F16" s="15"/>
      <c r="G16" s="15"/>
      <c r="H16" s="15"/>
      <c r="I16" s="15"/>
      <c r="J16" s="15" t="s">
        <v>267</v>
      </c>
    </row>
    <row r="17" customFormat="false" ht="15" hidden="false" customHeight="true" outlineLevel="0" collapsed="false">
      <c r="A17" s="22" t="s">
        <v>269</v>
      </c>
      <c r="B17" s="18"/>
      <c r="C17" s="18"/>
      <c r="D17" s="18"/>
      <c r="E17" s="18"/>
      <c r="F17" s="18"/>
      <c r="G17" s="18"/>
      <c r="H17" s="18"/>
      <c r="I17" s="18"/>
      <c r="J17" s="18" t="s">
        <v>267</v>
      </c>
    </row>
    <row r="18" customFormat="false" ht="15" hidden="false" customHeight="true" outlineLevel="0" collapsed="false">
      <c r="A18" s="22" t="s">
        <v>299</v>
      </c>
      <c r="B18" s="15"/>
      <c r="C18" s="15"/>
      <c r="D18" s="15"/>
      <c r="E18" s="15"/>
      <c r="F18" s="15"/>
      <c r="G18" s="15"/>
      <c r="H18" s="15"/>
      <c r="I18" s="15"/>
      <c r="J18" s="15" t="s">
        <v>300</v>
      </c>
    </row>
    <row r="19" customFormat="false" ht="15" hidden="false" customHeight="true" outlineLevel="0" collapsed="false">
      <c r="A19" s="22" t="s">
        <v>301</v>
      </c>
      <c r="B19" s="18"/>
      <c r="C19" s="18"/>
      <c r="D19" s="18"/>
      <c r="E19" s="18"/>
      <c r="F19" s="18"/>
      <c r="G19" s="18"/>
      <c r="H19" s="18"/>
      <c r="I19" s="18"/>
      <c r="J19" s="18" t="s">
        <v>302</v>
      </c>
    </row>
    <row r="20" customFormat="false" ht="15" hidden="false" customHeight="true" outlineLevel="0" collapsed="false">
      <c r="A20" s="22" t="s">
        <v>303</v>
      </c>
      <c r="B20" s="15"/>
      <c r="C20" s="15"/>
      <c r="D20" s="15"/>
      <c r="E20" s="15"/>
      <c r="F20" s="15"/>
      <c r="G20" s="15"/>
      <c r="H20" s="15"/>
      <c r="I20" s="15"/>
      <c r="J20" s="15" t="s">
        <v>304</v>
      </c>
    </row>
    <row r="21" customFormat="false" ht="15" hidden="false" customHeight="true" outlineLevel="0" collapsed="false">
      <c r="A21" s="22" t="s">
        <v>305</v>
      </c>
      <c r="B21" s="18"/>
      <c r="C21" s="18"/>
      <c r="D21" s="18"/>
      <c r="E21" s="18"/>
      <c r="F21" s="18"/>
      <c r="G21" s="18"/>
      <c r="H21" s="18"/>
      <c r="I21" s="18"/>
      <c r="J21" s="18" t="s">
        <v>304</v>
      </c>
    </row>
    <row r="22" customFormat="false" ht="4.5" hidden="false" customHeight="true" outlineLevel="0" collapsed="false"/>
    <row r="23" customFormat="false" ht="21.75" hidden="false" customHeight="true" outlineLevel="0" collapsed="false">
      <c r="A23" s="5" t="s">
        <v>306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8" hidden="false" customHeight="true" outlineLevel="0" collapsed="false">
      <c r="A24" s="11" t="s">
        <v>307</v>
      </c>
      <c r="B24" s="11" t="s">
        <v>308</v>
      </c>
      <c r="C24" s="11" t="s">
        <v>309</v>
      </c>
      <c r="D24" s="11" t="s">
        <v>310</v>
      </c>
      <c r="E24" s="11" t="s">
        <v>311</v>
      </c>
      <c r="F24" s="11" t="s">
        <v>312</v>
      </c>
      <c r="G24" s="11" t="s">
        <v>313</v>
      </c>
      <c r="H24" s="11" t="s">
        <v>314</v>
      </c>
      <c r="I24" s="11" t="s">
        <v>315</v>
      </c>
      <c r="J24" s="11" t="s">
        <v>316</v>
      </c>
    </row>
    <row r="25" customFormat="false" ht="15" hidden="false" customHeight="true" outlineLevel="0" collapsed="false">
      <c r="A25" s="22" t="s">
        <v>317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15" hidden="false" customHeight="true" outlineLevel="0" collapsed="false">
      <c r="A26" s="22" t="s">
        <v>318</v>
      </c>
      <c r="B26" s="18"/>
      <c r="C26" s="18"/>
      <c r="D26" s="18"/>
      <c r="E26" s="18"/>
      <c r="F26" s="18"/>
      <c r="G26" s="18"/>
      <c r="H26" s="18"/>
      <c r="I26" s="18"/>
      <c r="J26" s="18"/>
    </row>
    <row r="27" customFormat="false" ht="15" hidden="false" customHeight="true" outlineLevel="0" collapsed="false">
      <c r="A27" s="22" t="s">
        <v>319</v>
      </c>
      <c r="B27" s="15"/>
      <c r="C27" s="15"/>
      <c r="D27" s="15"/>
      <c r="E27" s="15"/>
      <c r="F27" s="15"/>
      <c r="G27" s="15"/>
      <c r="H27" s="15"/>
      <c r="I27" s="15"/>
      <c r="J27" s="15"/>
    </row>
    <row r="28" customFormat="false" ht="15" hidden="false" customHeight="true" outlineLevel="0" collapsed="false">
      <c r="A28" s="22" t="s">
        <v>320</v>
      </c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true" outlineLevel="0" collapsed="false">
      <c r="A29" s="22" t="s">
        <v>321</v>
      </c>
      <c r="B29" s="15"/>
      <c r="C29" s="15"/>
      <c r="D29" s="15"/>
      <c r="E29" s="15"/>
      <c r="F29" s="15"/>
      <c r="G29" s="15"/>
      <c r="H29" s="15"/>
      <c r="I29" s="15"/>
      <c r="J29" s="15"/>
    </row>
    <row r="30" customFormat="false" ht="15" hidden="false" customHeight="true" outlineLevel="0" collapsed="false">
      <c r="A30" s="22" t="s">
        <v>322</v>
      </c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true" outlineLevel="0" collapsed="false">
      <c r="A31" s="22" t="s">
        <v>323</v>
      </c>
      <c r="B31" s="15"/>
      <c r="C31" s="15"/>
      <c r="D31" s="15"/>
      <c r="E31" s="15"/>
      <c r="F31" s="15"/>
      <c r="G31" s="15"/>
      <c r="H31" s="15"/>
      <c r="I31" s="15"/>
      <c r="J31" s="15"/>
    </row>
    <row r="32" customFormat="false" ht="15" hidden="false" customHeight="true" outlineLevel="0" collapsed="false">
      <c r="A32" s="22" t="s">
        <v>324</v>
      </c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5" hidden="false" customHeight="true" outlineLevel="0" collapsed="false">
      <c r="A33" s="22" t="s">
        <v>325</v>
      </c>
      <c r="B33" s="15"/>
      <c r="C33" s="15"/>
      <c r="D33" s="15"/>
      <c r="E33" s="15"/>
      <c r="F33" s="15"/>
      <c r="G33" s="15"/>
      <c r="H33" s="15"/>
      <c r="I33" s="15"/>
      <c r="J33" s="15"/>
    </row>
    <row r="34" customFormat="false" ht="4.5" hidden="false" customHeight="true" outlineLevel="0" collapsed="false"/>
    <row r="35" customFormat="false" ht="18" hidden="false" customHeight="true" outlineLevel="0" collapsed="false">
      <c r="A35" s="9" t="s">
        <v>53</v>
      </c>
      <c r="B35" s="9"/>
      <c r="C35" s="9"/>
      <c r="D35" s="9"/>
      <c r="E35" s="9"/>
      <c r="F35" s="9"/>
      <c r="G35" s="9"/>
      <c r="H35" s="9"/>
      <c r="I35" s="9"/>
      <c r="J35" s="9"/>
    </row>
  </sheetData>
  <mergeCells count="5">
    <mergeCell ref="A1:E1"/>
    <mergeCell ref="F1:J1"/>
    <mergeCell ref="A2:J2"/>
    <mergeCell ref="A23:J23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  <col collapsed="false" customWidth="true" hidden="false" outlineLevel="0" max="11" min="6" style="0" width="10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5" t="s">
        <v>326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8" hidden="false" customHeight="true" outlineLevel="0" collapsed="false">
      <c r="A3" s="11" t="s">
        <v>327</v>
      </c>
      <c r="B3" s="11" t="s">
        <v>328</v>
      </c>
      <c r="C3" s="11" t="s">
        <v>329</v>
      </c>
      <c r="D3" s="11" t="s">
        <v>330</v>
      </c>
      <c r="E3" s="11" t="s">
        <v>331</v>
      </c>
      <c r="F3" s="11" t="s">
        <v>332</v>
      </c>
      <c r="G3" s="11" t="s">
        <v>333</v>
      </c>
      <c r="H3" s="11" t="s">
        <v>334</v>
      </c>
      <c r="I3" s="11" t="s">
        <v>335</v>
      </c>
      <c r="J3" s="11" t="s">
        <v>336</v>
      </c>
      <c r="K3" s="11" t="s">
        <v>337</v>
      </c>
      <c r="L3" s="11" t="s">
        <v>338</v>
      </c>
    </row>
    <row r="4" customFormat="false" ht="15" hidden="false" customHeight="true" outlineLevel="0" collapsed="false">
      <c r="A4" s="13"/>
      <c r="B4" s="13"/>
      <c r="C4" s="15"/>
      <c r="D4" s="15"/>
      <c r="E4" s="15"/>
      <c r="F4" s="15"/>
      <c r="G4" s="15"/>
      <c r="H4" s="15" t="str">
        <f aca="false">IF(C4&gt;0,D4/C4*100,"")</f>
        <v/>
      </c>
      <c r="I4" s="15" t="str">
        <f aca="false">IF(C4&gt;0,E4/C4*100,"")</f>
        <v/>
      </c>
      <c r="J4" s="15" t="str">
        <f aca="false">IF(C4&gt;0,F4/C4*100,"")</f>
        <v/>
      </c>
      <c r="K4" s="15" t="str">
        <f aca="false">IF(C4&gt;0,G4/C4*100,"")</f>
        <v/>
      </c>
      <c r="L4" s="13"/>
    </row>
    <row r="5" customFormat="false" ht="15" hidden="false" customHeight="true" outlineLevel="0" collapsed="false">
      <c r="A5" s="17"/>
      <c r="B5" s="17"/>
      <c r="C5" s="18"/>
      <c r="D5" s="18"/>
      <c r="E5" s="18"/>
      <c r="F5" s="18"/>
      <c r="G5" s="18"/>
      <c r="H5" s="18" t="str">
        <f aca="false">IF(C5&gt;0,D5/C5*100,"")</f>
        <v/>
      </c>
      <c r="I5" s="18" t="str">
        <f aca="false">IF(C5&gt;0,E5/C5*100,"")</f>
        <v/>
      </c>
      <c r="J5" s="18" t="str">
        <f aca="false">IF(C5&gt;0,F5/C5*100,"")</f>
        <v/>
      </c>
      <c r="K5" s="18" t="str">
        <f aca="false">IF(C5&gt;0,G5/C5*100,"")</f>
        <v/>
      </c>
      <c r="L5" s="17"/>
    </row>
    <row r="6" customFormat="false" ht="15" hidden="false" customHeight="true" outlineLevel="0" collapsed="false">
      <c r="A6" s="13"/>
      <c r="B6" s="13"/>
      <c r="C6" s="15"/>
      <c r="D6" s="15"/>
      <c r="E6" s="15"/>
      <c r="F6" s="15"/>
      <c r="G6" s="15"/>
      <c r="H6" s="15" t="str">
        <f aca="false">IF(C6&gt;0,D6/C6*100,"")</f>
        <v/>
      </c>
      <c r="I6" s="15" t="str">
        <f aca="false">IF(C6&gt;0,E6/C6*100,"")</f>
        <v/>
      </c>
      <c r="J6" s="15" t="str">
        <f aca="false">IF(C6&gt;0,F6/C6*100,"")</f>
        <v/>
      </c>
      <c r="K6" s="15" t="str">
        <f aca="false">IF(C6&gt;0,G6/C6*100,"")</f>
        <v/>
      </c>
      <c r="L6" s="13"/>
    </row>
    <row r="7" customFormat="false" ht="15" hidden="false" customHeight="true" outlineLevel="0" collapsed="false">
      <c r="A7" s="17"/>
      <c r="B7" s="17"/>
      <c r="C7" s="18"/>
      <c r="D7" s="18"/>
      <c r="E7" s="18"/>
      <c r="F7" s="18"/>
      <c r="G7" s="18"/>
      <c r="H7" s="18" t="str">
        <f aca="false">IF(C7&gt;0,D7/C7*100,"")</f>
        <v/>
      </c>
      <c r="I7" s="18" t="str">
        <f aca="false">IF(C7&gt;0,E7/C7*100,"")</f>
        <v/>
      </c>
      <c r="J7" s="18" t="str">
        <f aca="false">IF(C7&gt;0,F7/C7*100,"")</f>
        <v/>
      </c>
      <c r="K7" s="18" t="str">
        <f aca="false">IF(C7&gt;0,G7/C7*100,"")</f>
        <v/>
      </c>
      <c r="L7" s="17"/>
    </row>
    <row r="8" customFormat="false" ht="15" hidden="false" customHeight="true" outlineLevel="0" collapsed="false">
      <c r="A8" s="13"/>
      <c r="B8" s="13"/>
      <c r="C8" s="15"/>
      <c r="D8" s="15"/>
      <c r="E8" s="15"/>
      <c r="F8" s="15"/>
      <c r="G8" s="15"/>
      <c r="H8" s="15" t="str">
        <f aca="false">IF(C8&gt;0,D8/C8*100,"")</f>
        <v/>
      </c>
      <c r="I8" s="15" t="str">
        <f aca="false">IF(C8&gt;0,E8/C8*100,"")</f>
        <v/>
      </c>
      <c r="J8" s="15" t="str">
        <f aca="false">IF(C8&gt;0,F8/C8*100,"")</f>
        <v/>
      </c>
      <c r="K8" s="15" t="str">
        <f aca="false">IF(C8&gt;0,G8/C8*100,"")</f>
        <v/>
      </c>
      <c r="L8" s="13"/>
    </row>
    <row r="9" customFormat="false" ht="15" hidden="false" customHeight="true" outlineLevel="0" collapsed="false">
      <c r="A9" s="17"/>
      <c r="B9" s="17"/>
      <c r="C9" s="18"/>
      <c r="D9" s="18"/>
      <c r="E9" s="18"/>
      <c r="F9" s="18"/>
      <c r="G9" s="18"/>
      <c r="H9" s="18" t="str">
        <f aca="false">IF(C9&gt;0,D9/C9*100,"")</f>
        <v/>
      </c>
      <c r="I9" s="18" t="str">
        <f aca="false">IF(C9&gt;0,E9/C9*100,"")</f>
        <v/>
      </c>
      <c r="J9" s="18" t="str">
        <f aca="false">IF(C9&gt;0,F9/C9*100,"")</f>
        <v/>
      </c>
      <c r="K9" s="18" t="str">
        <f aca="false">IF(C9&gt;0,G9/C9*100,"")</f>
        <v/>
      </c>
      <c r="L9" s="17"/>
    </row>
    <row r="10" customFormat="false" ht="15" hidden="false" customHeight="true" outlineLevel="0" collapsed="false">
      <c r="A10" s="13"/>
      <c r="B10" s="13"/>
      <c r="C10" s="15"/>
      <c r="D10" s="15"/>
      <c r="E10" s="15"/>
      <c r="F10" s="15"/>
      <c r="G10" s="15"/>
      <c r="H10" s="15" t="str">
        <f aca="false">IF(C10&gt;0,D10/C10*100,"")</f>
        <v/>
      </c>
      <c r="I10" s="15" t="str">
        <f aca="false">IF(C10&gt;0,E10/C10*100,"")</f>
        <v/>
      </c>
      <c r="J10" s="15" t="str">
        <f aca="false">IF(C10&gt;0,F10/C10*100,"")</f>
        <v/>
      </c>
      <c r="K10" s="15" t="str">
        <f aca="false">IF(C10&gt;0,G10/C10*100,"")</f>
        <v/>
      </c>
      <c r="L10" s="13"/>
    </row>
    <row r="11" customFormat="false" ht="15" hidden="false" customHeight="true" outlineLevel="0" collapsed="false">
      <c r="A11" s="17"/>
      <c r="B11" s="17"/>
      <c r="C11" s="18"/>
      <c r="D11" s="18"/>
      <c r="E11" s="18"/>
      <c r="F11" s="18"/>
      <c r="G11" s="18"/>
      <c r="H11" s="18" t="str">
        <f aca="false">IF(C11&gt;0,D11/C11*100,"")</f>
        <v/>
      </c>
      <c r="I11" s="18" t="str">
        <f aca="false">IF(C11&gt;0,E11/C11*100,"")</f>
        <v/>
      </c>
      <c r="J11" s="18" t="str">
        <f aca="false">IF(C11&gt;0,F11/C11*100,"")</f>
        <v/>
      </c>
      <c r="K11" s="18" t="str">
        <f aca="false">IF(C11&gt;0,G11/C11*100,"")</f>
        <v/>
      </c>
      <c r="L11" s="17"/>
    </row>
    <row r="12" customFormat="false" ht="15" hidden="false" customHeight="true" outlineLevel="0" collapsed="false">
      <c r="A12" s="13"/>
      <c r="B12" s="13"/>
      <c r="C12" s="15"/>
      <c r="D12" s="15"/>
      <c r="E12" s="15"/>
      <c r="F12" s="15"/>
      <c r="G12" s="15"/>
      <c r="H12" s="15" t="str">
        <f aca="false">IF(C12&gt;0,D12/C12*100,"")</f>
        <v/>
      </c>
      <c r="I12" s="15" t="str">
        <f aca="false">IF(C12&gt;0,E12/C12*100,"")</f>
        <v/>
      </c>
      <c r="J12" s="15" t="str">
        <f aca="false">IF(C12&gt;0,F12/C12*100,"")</f>
        <v/>
      </c>
      <c r="K12" s="15" t="str">
        <f aca="false">IF(C12&gt;0,G12/C12*100,"")</f>
        <v/>
      </c>
      <c r="L12" s="13"/>
    </row>
    <row r="13" customFormat="false" ht="15" hidden="false" customHeight="true" outlineLevel="0" collapsed="false">
      <c r="A13" s="17"/>
      <c r="B13" s="17"/>
      <c r="C13" s="18"/>
      <c r="D13" s="18"/>
      <c r="E13" s="18"/>
      <c r="F13" s="18"/>
      <c r="G13" s="18"/>
      <c r="H13" s="18" t="str">
        <f aca="false">IF(C13&gt;0,D13/C13*100,"")</f>
        <v/>
      </c>
      <c r="I13" s="18" t="str">
        <f aca="false">IF(C13&gt;0,E13/C13*100,"")</f>
        <v/>
      </c>
      <c r="J13" s="18" t="str">
        <f aca="false">IF(C13&gt;0,F13/C13*100,"")</f>
        <v/>
      </c>
      <c r="K13" s="18" t="str">
        <f aca="false">IF(C13&gt;0,G13/C13*100,"")</f>
        <v/>
      </c>
      <c r="L13" s="17"/>
    </row>
    <row r="14" customFormat="false" ht="15" hidden="false" customHeight="true" outlineLevel="0" collapsed="false">
      <c r="A14" s="13"/>
      <c r="B14" s="13"/>
      <c r="C14" s="15"/>
      <c r="D14" s="15"/>
      <c r="E14" s="15"/>
      <c r="F14" s="15"/>
      <c r="G14" s="15"/>
      <c r="H14" s="15" t="str">
        <f aca="false">IF(C14&gt;0,D14/C14*100,"")</f>
        <v/>
      </c>
      <c r="I14" s="15" t="str">
        <f aca="false">IF(C14&gt;0,E14/C14*100,"")</f>
        <v/>
      </c>
      <c r="J14" s="15" t="str">
        <f aca="false">IF(C14&gt;0,F14/C14*100,"")</f>
        <v/>
      </c>
      <c r="K14" s="15" t="str">
        <f aca="false">IF(C14&gt;0,G14/C14*100,"")</f>
        <v/>
      </c>
      <c r="L14" s="13"/>
    </row>
    <row r="15" customFormat="false" ht="15" hidden="false" customHeight="true" outlineLevel="0" collapsed="false">
      <c r="A15" s="17"/>
      <c r="B15" s="17"/>
      <c r="C15" s="18"/>
      <c r="D15" s="18"/>
      <c r="E15" s="18"/>
      <c r="F15" s="18"/>
      <c r="G15" s="18"/>
      <c r="H15" s="18" t="str">
        <f aca="false">IF(C15&gt;0,D15/C15*100,"")</f>
        <v/>
      </c>
      <c r="I15" s="18" t="str">
        <f aca="false">IF(C15&gt;0,E15/C15*100,"")</f>
        <v/>
      </c>
      <c r="J15" s="18" t="str">
        <f aca="false">IF(C15&gt;0,F15/C15*100,"")</f>
        <v/>
      </c>
      <c r="K15" s="18" t="str">
        <f aca="false">IF(C15&gt;0,G15/C15*100,"")</f>
        <v/>
      </c>
      <c r="L15" s="17"/>
    </row>
    <row r="16" customFormat="false" ht="15" hidden="false" customHeight="true" outlineLevel="0" collapsed="false">
      <c r="A16" s="13"/>
      <c r="B16" s="13"/>
      <c r="C16" s="15"/>
      <c r="D16" s="15"/>
      <c r="E16" s="15"/>
      <c r="F16" s="15"/>
      <c r="G16" s="15"/>
      <c r="H16" s="15" t="str">
        <f aca="false">IF(C16&gt;0,D16/C16*100,"")</f>
        <v/>
      </c>
      <c r="I16" s="15" t="str">
        <f aca="false">IF(C16&gt;0,E16/C16*100,"")</f>
        <v/>
      </c>
      <c r="J16" s="15" t="str">
        <f aca="false">IF(C16&gt;0,F16/C16*100,"")</f>
        <v/>
      </c>
      <c r="K16" s="15" t="str">
        <f aca="false">IF(C16&gt;0,G16/C16*100,"")</f>
        <v/>
      </c>
      <c r="L16" s="13"/>
    </row>
    <row r="17" customFormat="false" ht="15" hidden="false" customHeight="true" outlineLevel="0" collapsed="false">
      <c r="A17" s="17"/>
      <c r="B17" s="17"/>
      <c r="C17" s="18"/>
      <c r="D17" s="18"/>
      <c r="E17" s="18"/>
      <c r="F17" s="18"/>
      <c r="G17" s="18"/>
      <c r="H17" s="18" t="str">
        <f aca="false">IF(C17&gt;0,D17/C17*100,"")</f>
        <v/>
      </c>
      <c r="I17" s="18" t="str">
        <f aca="false">IF(C17&gt;0,E17/C17*100,"")</f>
        <v/>
      </c>
      <c r="J17" s="18" t="str">
        <f aca="false">IF(C17&gt;0,F17/C17*100,"")</f>
        <v/>
      </c>
      <c r="K17" s="18" t="str">
        <f aca="false">IF(C17&gt;0,G17/C17*100,"")</f>
        <v/>
      </c>
      <c r="L17" s="17"/>
    </row>
    <row r="18" customFormat="false" ht="15" hidden="false" customHeight="true" outlineLevel="0" collapsed="false">
      <c r="A18" s="13"/>
      <c r="B18" s="13"/>
      <c r="C18" s="15"/>
      <c r="D18" s="15"/>
      <c r="E18" s="15"/>
      <c r="F18" s="15"/>
      <c r="G18" s="15"/>
      <c r="H18" s="15" t="str">
        <f aca="false">IF(C18&gt;0,D18/C18*100,"")</f>
        <v/>
      </c>
      <c r="I18" s="15" t="str">
        <f aca="false">IF(C18&gt;0,E18/C18*100,"")</f>
        <v/>
      </c>
      <c r="J18" s="15" t="str">
        <f aca="false">IF(C18&gt;0,F18/C18*100,"")</f>
        <v/>
      </c>
      <c r="K18" s="15" t="str">
        <f aca="false">IF(C18&gt;0,G18/C18*100,"")</f>
        <v/>
      </c>
      <c r="L18" s="13"/>
    </row>
    <row r="19" customFormat="false" ht="15" hidden="false" customHeight="true" outlineLevel="0" collapsed="false">
      <c r="A19" s="17"/>
      <c r="B19" s="17"/>
      <c r="C19" s="18"/>
      <c r="D19" s="18"/>
      <c r="E19" s="18"/>
      <c r="F19" s="18"/>
      <c r="G19" s="18"/>
      <c r="H19" s="18" t="str">
        <f aca="false">IF(C19&gt;0,D19/C19*100,"")</f>
        <v/>
      </c>
      <c r="I19" s="18" t="str">
        <f aca="false">IF(C19&gt;0,E19/C19*100,"")</f>
        <v/>
      </c>
      <c r="J19" s="18" t="str">
        <f aca="false">IF(C19&gt;0,F19/C19*100,"")</f>
        <v/>
      </c>
      <c r="K19" s="18" t="str">
        <f aca="false">IF(C19&gt;0,G19/C19*100,"")</f>
        <v/>
      </c>
      <c r="L19" s="17"/>
    </row>
    <row r="20" customFormat="false" ht="15" hidden="false" customHeight="true" outlineLevel="0" collapsed="false">
      <c r="A20" s="13"/>
      <c r="B20" s="13"/>
      <c r="C20" s="15"/>
      <c r="D20" s="15"/>
      <c r="E20" s="15"/>
      <c r="F20" s="15"/>
      <c r="G20" s="15"/>
      <c r="H20" s="15" t="str">
        <f aca="false">IF(C20&gt;0,D20/C20*100,"")</f>
        <v/>
      </c>
      <c r="I20" s="15" t="str">
        <f aca="false">IF(C20&gt;0,E20/C20*100,"")</f>
        <v/>
      </c>
      <c r="J20" s="15" t="str">
        <f aca="false">IF(C20&gt;0,F20/C20*100,"")</f>
        <v/>
      </c>
      <c r="K20" s="15" t="str">
        <f aca="false">IF(C20&gt;0,G20/C20*100,"")</f>
        <v/>
      </c>
      <c r="L20" s="13"/>
    </row>
    <row r="21" customFormat="false" ht="15" hidden="false" customHeight="true" outlineLevel="0" collapsed="false">
      <c r="A21" s="17"/>
      <c r="B21" s="17"/>
      <c r="C21" s="18"/>
      <c r="D21" s="18"/>
      <c r="E21" s="18"/>
      <c r="F21" s="18"/>
      <c r="G21" s="18"/>
      <c r="H21" s="18" t="str">
        <f aca="false">IF(C21&gt;0,D21/C21*100,"")</f>
        <v/>
      </c>
      <c r="I21" s="18" t="str">
        <f aca="false">IF(C21&gt;0,E21/C21*100,"")</f>
        <v/>
      </c>
      <c r="J21" s="18" t="str">
        <f aca="false">IF(C21&gt;0,F21/C21*100,"")</f>
        <v/>
      </c>
      <c r="K21" s="18" t="str">
        <f aca="false">IF(C21&gt;0,G21/C21*100,"")</f>
        <v/>
      </c>
      <c r="L21" s="17"/>
    </row>
    <row r="22" customFormat="false" ht="15" hidden="false" customHeight="true" outlineLevel="0" collapsed="false">
      <c r="A22" s="13"/>
      <c r="B22" s="13"/>
      <c r="C22" s="15"/>
      <c r="D22" s="15"/>
      <c r="E22" s="15"/>
      <c r="F22" s="15"/>
      <c r="G22" s="15"/>
      <c r="H22" s="15" t="str">
        <f aca="false">IF(C22&gt;0,D22/C22*100,"")</f>
        <v/>
      </c>
      <c r="I22" s="15" t="str">
        <f aca="false">IF(C22&gt;0,E22/C22*100,"")</f>
        <v/>
      </c>
      <c r="J22" s="15" t="str">
        <f aca="false">IF(C22&gt;0,F22/C22*100,"")</f>
        <v/>
      </c>
      <c r="K22" s="15" t="str">
        <f aca="false">IF(C22&gt;0,G22/C22*100,"")</f>
        <v/>
      </c>
      <c r="L22" s="13"/>
    </row>
    <row r="23" customFormat="false" ht="15" hidden="false" customHeight="true" outlineLevel="0" collapsed="false">
      <c r="A23" s="17"/>
      <c r="B23" s="17"/>
      <c r="C23" s="18"/>
      <c r="D23" s="18"/>
      <c r="E23" s="18"/>
      <c r="F23" s="18"/>
      <c r="G23" s="18"/>
      <c r="H23" s="18" t="str">
        <f aca="false">IF(C23&gt;0,D23/C23*100,"")</f>
        <v/>
      </c>
      <c r="I23" s="18" t="str">
        <f aca="false">IF(C23&gt;0,E23/C23*100,"")</f>
        <v/>
      </c>
      <c r="J23" s="18" t="str">
        <f aca="false">IF(C23&gt;0,F23/C23*100,"")</f>
        <v/>
      </c>
      <c r="K23" s="18" t="str">
        <f aca="false">IF(C23&gt;0,G23/C23*100,"")</f>
        <v/>
      </c>
      <c r="L23" s="17"/>
    </row>
    <row r="24" customFormat="false" ht="16.5" hidden="false" customHeight="true" outlineLevel="0" collapsed="false">
      <c r="A24" s="23" t="s">
        <v>339</v>
      </c>
      <c r="C24" s="24" t="n">
        <f aca="false">SUM(C4:C23)</f>
        <v>0</v>
      </c>
      <c r="D24" s="24" t="n">
        <f aca="false">SUM(D4:D23)</f>
        <v>0</v>
      </c>
      <c r="E24" s="24" t="n">
        <f aca="false">SUM(E4:E23)</f>
        <v>0</v>
      </c>
      <c r="F24" s="24" t="n">
        <f aca="false">SUM(F4:F23)</f>
        <v>0</v>
      </c>
      <c r="G24" s="24" t="n">
        <f aca="false">SUM(G4:G23)</f>
        <v>0</v>
      </c>
      <c r="H24" s="24" t="str">
        <f aca="false">IF(C24&gt;0,D24/C24*100,"")</f>
        <v/>
      </c>
      <c r="I24" s="24" t="str">
        <f aca="false">IF(C24&gt;0,E24/C24*100,"")</f>
        <v/>
      </c>
      <c r="J24" s="24" t="str">
        <f aca="false">IF(C24&gt;0,F24/C24*100,"")</f>
        <v/>
      </c>
      <c r="K24" s="24" t="str">
        <f aca="false">IF(C24&gt;0,G24/C24*100,"")</f>
        <v/>
      </c>
    </row>
    <row r="25" customFormat="false" ht="4.5" hidden="false" customHeight="true" outlineLevel="0" collapsed="false"/>
    <row r="26" customFormat="false" ht="18" hidden="false" customHeight="true" outlineLevel="0" collapsed="false">
      <c r="A26" s="9" t="s">
        <v>53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</sheetData>
  <mergeCells count="4">
    <mergeCell ref="A1:F1"/>
    <mergeCell ref="G1:L1"/>
    <mergeCell ref="A2:L2"/>
    <mergeCell ref="A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10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</row>
    <row r="2" customFormat="false" ht="21.75" hidden="false" customHeight="true" outlineLevel="0" collapsed="false">
      <c r="A2" s="5" t="s">
        <v>340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8" hidden="false" customHeight="true" outlineLevel="0" collapsed="false">
      <c r="A3" s="11" t="s">
        <v>341</v>
      </c>
      <c r="B3" s="11" t="s">
        <v>342</v>
      </c>
      <c r="C3" s="11" t="s">
        <v>343</v>
      </c>
      <c r="D3" s="11" t="s">
        <v>344</v>
      </c>
      <c r="E3" s="11" t="s">
        <v>345</v>
      </c>
      <c r="F3" s="11" t="s">
        <v>346</v>
      </c>
      <c r="G3" s="11" t="s">
        <v>347</v>
      </c>
      <c r="H3" s="11" t="s">
        <v>348</v>
      </c>
      <c r="I3" s="11" t="s">
        <v>349</v>
      </c>
      <c r="J3" s="11" t="s">
        <v>350</v>
      </c>
      <c r="K3" s="11" t="s">
        <v>338</v>
      </c>
    </row>
    <row r="4" customFormat="false" ht="15" hidden="false" customHeight="true" outlineLevel="0" collapsed="false">
      <c r="A4" s="15" t="n">
        <v>1</v>
      </c>
      <c r="B4" s="15"/>
      <c r="C4" s="13"/>
      <c r="D4" s="13"/>
      <c r="E4" s="15"/>
      <c r="F4" s="15"/>
      <c r="G4" s="15"/>
      <c r="H4" s="15"/>
      <c r="I4" s="15" t="str">
        <f aca="false">IF(F4*H4=0,"",F4*H4)</f>
        <v/>
      </c>
      <c r="J4" s="15"/>
      <c r="K4" s="13"/>
    </row>
    <row r="5" customFormat="false" ht="15" hidden="false" customHeight="true" outlineLevel="0" collapsed="false">
      <c r="A5" s="18" t="n">
        <v>2</v>
      </c>
      <c r="B5" s="18"/>
      <c r="C5" s="17"/>
      <c r="D5" s="17"/>
      <c r="E5" s="18"/>
      <c r="F5" s="18"/>
      <c r="G5" s="18"/>
      <c r="H5" s="18"/>
      <c r="I5" s="18" t="str">
        <f aca="false">IF(F5*H5=0,"",F5*H5)</f>
        <v/>
      </c>
      <c r="J5" s="18"/>
      <c r="K5" s="17"/>
    </row>
    <row r="6" customFormat="false" ht="15" hidden="false" customHeight="true" outlineLevel="0" collapsed="false">
      <c r="A6" s="15" t="n">
        <v>3</v>
      </c>
      <c r="B6" s="15"/>
      <c r="C6" s="13"/>
      <c r="D6" s="13"/>
      <c r="E6" s="15"/>
      <c r="F6" s="15"/>
      <c r="G6" s="15"/>
      <c r="H6" s="15"/>
      <c r="I6" s="15" t="str">
        <f aca="false">IF(F6*H6=0,"",F6*H6)</f>
        <v/>
      </c>
      <c r="J6" s="15"/>
      <c r="K6" s="13"/>
    </row>
    <row r="7" customFormat="false" ht="15" hidden="false" customHeight="true" outlineLevel="0" collapsed="false">
      <c r="A7" s="18" t="n">
        <v>4</v>
      </c>
      <c r="B7" s="18"/>
      <c r="C7" s="17"/>
      <c r="D7" s="17"/>
      <c r="E7" s="18"/>
      <c r="F7" s="18"/>
      <c r="G7" s="18"/>
      <c r="H7" s="18"/>
      <c r="I7" s="18" t="str">
        <f aca="false">IF(F7*H7=0,"",F7*H7)</f>
        <v/>
      </c>
      <c r="J7" s="18"/>
      <c r="K7" s="17"/>
    </row>
    <row r="8" customFormat="false" ht="15" hidden="false" customHeight="true" outlineLevel="0" collapsed="false">
      <c r="A8" s="15" t="n">
        <v>5</v>
      </c>
      <c r="B8" s="15"/>
      <c r="C8" s="13"/>
      <c r="D8" s="13"/>
      <c r="E8" s="15"/>
      <c r="F8" s="15"/>
      <c r="G8" s="15"/>
      <c r="H8" s="15"/>
      <c r="I8" s="15" t="str">
        <f aca="false">IF(F8*H8=0,"",F8*H8)</f>
        <v/>
      </c>
      <c r="J8" s="15"/>
      <c r="K8" s="13"/>
    </row>
    <row r="9" customFormat="false" ht="15" hidden="false" customHeight="true" outlineLevel="0" collapsed="false">
      <c r="A9" s="18" t="n">
        <v>6</v>
      </c>
      <c r="B9" s="18"/>
      <c r="C9" s="17"/>
      <c r="D9" s="17"/>
      <c r="E9" s="18"/>
      <c r="F9" s="18"/>
      <c r="G9" s="18"/>
      <c r="H9" s="18"/>
      <c r="I9" s="18" t="str">
        <f aca="false">IF(F9*H9=0,"",F9*H9)</f>
        <v/>
      </c>
      <c r="J9" s="18"/>
      <c r="K9" s="17"/>
    </row>
    <row r="10" customFormat="false" ht="15" hidden="false" customHeight="true" outlineLevel="0" collapsed="false">
      <c r="A10" s="15" t="n">
        <v>7</v>
      </c>
      <c r="B10" s="15"/>
      <c r="C10" s="13"/>
      <c r="D10" s="13"/>
      <c r="E10" s="15"/>
      <c r="F10" s="15"/>
      <c r="G10" s="15"/>
      <c r="H10" s="15"/>
      <c r="I10" s="15" t="str">
        <f aca="false">IF(F10*H10=0,"",F10*H10)</f>
        <v/>
      </c>
      <c r="J10" s="15"/>
      <c r="K10" s="13"/>
    </row>
    <row r="11" customFormat="false" ht="15" hidden="false" customHeight="true" outlineLevel="0" collapsed="false">
      <c r="A11" s="18" t="n">
        <v>8</v>
      </c>
      <c r="B11" s="18"/>
      <c r="C11" s="17"/>
      <c r="D11" s="17"/>
      <c r="E11" s="18"/>
      <c r="F11" s="18"/>
      <c r="G11" s="18"/>
      <c r="H11" s="18"/>
      <c r="I11" s="18" t="str">
        <f aca="false">IF(F11*H11=0,"",F11*H11)</f>
        <v/>
      </c>
      <c r="J11" s="18"/>
      <c r="K11" s="17"/>
    </row>
    <row r="12" customFormat="false" ht="15" hidden="false" customHeight="true" outlineLevel="0" collapsed="false">
      <c r="A12" s="15" t="n">
        <v>9</v>
      </c>
      <c r="B12" s="15"/>
      <c r="C12" s="13"/>
      <c r="D12" s="13"/>
      <c r="E12" s="15"/>
      <c r="F12" s="15"/>
      <c r="G12" s="15"/>
      <c r="H12" s="15"/>
      <c r="I12" s="15" t="str">
        <f aca="false">IF(F12*H12=0,"",F12*H12)</f>
        <v/>
      </c>
      <c r="J12" s="15"/>
      <c r="K12" s="13"/>
    </row>
    <row r="13" customFormat="false" ht="15" hidden="false" customHeight="true" outlineLevel="0" collapsed="false">
      <c r="A13" s="18" t="n">
        <v>10</v>
      </c>
      <c r="B13" s="18"/>
      <c r="C13" s="17"/>
      <c r="D13" s="17"/>
      <c r="E13" s="18"/>
      <c r="F13" s="18"/>
      <c r="G13" s="18"/>
      <c r="H13" s="18"/>
      <c r="I13" s="18" t="str">
        <f aca="false">IF(F13*H13=0,"",F13*H13)</f>
        <v/>
      </c>
      <c r="J13" s="18"/>
      <c r="K13" s="17"/>
    </row>
    <row r="14" customFormat="false" ht="15" hidden="false" customHeight="true" outlineLevel="0" collapsed="false">
      <c r="A14" s="15" t="n">
        <v>11</v>
      </c>
      <c r="B14" s="15"/>
      <c r="C14" s="13"/>
      <c r="D14" s="13"/>
      <c r="E14" s="15"/>
      <c r="F14" s="15"/>
      <c r="G14" s="15"/>
      <c r="H14" s="15"/>
      <c r="I14" s="15" t="str">
        <f aca="false">IF(F14*H14=0,"",F14*H14)</f>
        <v/>
      </c>
      <c r="J14" s="15"/>
      <c r="K14" s="13"/>
    </row>
    <row r="15" customFormat="false" ht="15" hidden="false" customHeight="true" outlineLevel="0" collapsed="false">
      <c r="A15" s="18" t="n">
        <v>12</v>
      </c>
      <c r="B15" s="18"/>
      <c r="C15" s="17"/>
      <c r="D15" s="17"/>
      <c r="E15" s="18"/>
      <c r="F15" s="18"/>
      <c r="G15" s="18"/>
      <c r="H15" s="18"/>
      <c r="I15" s="18" t="str">
        <f aca="false">IF(F15*H15=0,"",F15*H15)</f>
        <v/>
      </c>
      <c r="J15" s="18"/>
      <c r="K15" s="17"/>
    </row>
    <row r="16" customFormat="false" ht="15" hidden="false" customHeight="true" outlineLevel="0" collapsed="false">
      <c r="A16" s="15" t="n">
        <v>13</v>
      </c>
      <c r="B16" s="15"/>
      <c r="C16" s="13"/>
      <c r="D16" s="13"/>
      <c r="E16" s="15"/>
      <c r="F16" s="15"/>
      <c r="G16" s="15"/>
      <c r="H16" s="15"/>
      <c r="I16" s="15" t="str">
        <f aca="false">IF(F16*H16=0,"",F16*H16)</f>
        <v/>
      </c>
      <c r="J16" s="15"/>
      <c r="K16" s="13"/>
    </row>
    <row r="17" customFormat="false" ht="15" hidden="false" customHeight="true" outlineLevel="0" collapsed="false">
      <c r="A17" s="18" t="n">
        <v>14</v>
      </c>
      <c r="B17" s="18"/>
      <c r="C17" s="17"/>
      <c r="D17" s="17"/>
      <c r="E17" s="18"/>
      <c r="F17" s="18"/>
      <c r="G17" s="18"/>
      <c r="H17" s="18"/>
      <c r="I17" s="18" t="str">
        <f aca="false">IF(F17*H17=0,"",F17*H17)</f>
        <v/>
      </c>
      <c r="J17" s="18"/>
      <c r="K17" s="17"/>
    </row>
    <row r="18" customFormat="false" ht="15" hidden="false" customHeight="true" outlineLevel="0" collapsed="false">
      <c r="A18" s="15" t="n">
        <v>15</v>
      </c>
      <c r="B18" s="15"/>
      <c r="C18" s="13"/>
      <c r="D18" s="13"/>
      <c r="E18" s="15"/>
      <c r="F18" s="15"/>
      <c r="G18" s="15"/>
      <c r="H18" s="15"/>
      <c r="I18" s="15" t="str">
        <f aca="false">IF(F18*H18=0,"",F18*H18)</f>
        <v/>
      </c>
      <c r="J18" s="15"/>
      <c r="K18" s="13"/>
    </row>
    <row r="19" customFormat="false" ht="15" hidden="false" customHeight="true" outlineLevel="0" collapsed="false">
      <c r="A19" s="18" t="n">
        <v>16</v>
      </c>
      <c r="B19" s="18"/>
      <c r="C19" s="17"/>
      <c r="D19" s="17"/>
      <c r="E19" s="18"/>
      <c r="F19" s="18"/>
      <c r="G19" s="18"/>
      <c r="H19" s="18"/>
      <c r="I19" s="18" t="str">
        <f aca="false">IF(F19*H19=0,"",F19*H19)</f>
        <v/>
      </c>
      <c r="J19" s="18"/>
      <c r="K19" s="17"/>
    </row>
    <row r="20" customFormat="false" ht="15" hidden="false" customHeight="true" outlineLevel="0" collapsed="false">
      <c r="A20" s="15" t="n">
        <v>17</v>
      </c>
      <c r="B20" s="15"/>
      <c r="C20" s="13"/>
      <c r="D20" s="13"/>
      <c r="E20" s="15"/>
      <c r="F20" s="15"/>
      <c r="G20" s="15"/>
      <c r="H20" s="15"/>
      <c r="I20" s="15" t="str">
        <f aca="false">IF(F20*H20=0,"",F20*H20)</f>
        <v/>
      </c>
      <c r="J20" s="15"/>
      <c r="K20" s="13"/>
    </row>
    <row r="21" customFormat="false" ht="15" hidden="false" customHeight="true" outlineLevel="0" collapsed="false">
      <c r="A21" s="18" t="n">
        <v>18</v>
      </c>
      <c r="B21" s="18"/>
      <c r="C21" s="17"/>
      <c r="D21" s="17"/>
      <c r="E21" s="18"/>
      <c r="F21" s="18"/>
      <c r="G21" s="18"/>
      <c r="H21" s="18"/>
      <c r="I21" s="18" t="str">
        <f aca="false">IF(F21*H21=0,"",F21*H21)</f>
        <v/>
      </c>
      <c r="J21" s="18"/>
      <c r="K21" s="17"/>
    </row>
    <row r="22" customFormat="false" ht="15" hidden="false" customHeight="true" outlineLevel="0" collapsed="false">
      <c r="A22" s="15" t="n">
        <v>19</v>
      </c>
      <c r="B22" s="15"/>
      <c r="C22" s="13"/>
      <c r="D22" s="13"/>
      <c r="E22" s="15"/>
      <c r="F22" s="15"/>
      <c r="G22" s="15"/>
      <c r="H22" s="15"/>
      <c r="I22" s="15" t="str">
        <f aca="false">IF(F22*H22=0,"",F22*H22)</f>
        <v/>
      </c>
      <c r="J22" s="15"/>
      <c r="K22" s="13"/>
    </row>
    <row r="23" customFormat="false" ht="15" hidden="false" customHeight="true" outlineLevel="0" collapsed="false">
      <c r="A23" s="18" t="n">
        <v>20</v>
      </c>
      <c r="B23" s="18"/>
      <c r="C23" s="17"/>
      <c r="D23" s="17"/>
      <c r="E23" s="18"/>
      <c r="F23" s="18"/>
      <c r="G23" s="18"/>
      <c r="H23" s="18"/>
      <c r="I23" s="18" t="str">
        <f aca="false">IF(F23*H23=0,"",F23*H23)</f>
        <v/>
      </c>
      <c r="J23" s="18"/>
      <c r="K23" s="17"/>
    </row>
    <row r="24" customFormat="false" ht="15" hidden="false" customHeight="true" outlineLevel="0" collapsed="false">
      <c r="A24" s="15" t="n">
        <v>21</v>
      </c>
      <c r="B24" s="15"/>
      <c r="C24" s="13"/>
      <c r="D24" s="13"/>
      <c r="E24" s="15"/>
      <c r="F24" s="15"/>
      <c r="G24" s="15"/>
      <c r="H24" s="15"/>
      <c r="I24" s="15" t="str">
        <f aca="false">IF(F24*H24=0,"",F24*H24)</f>
        <v/>
      </c>
      <c r="J24" s="15"/>
      <c r="K24" s="13"/>
    </row>
    <row r="25" customFormat="false" ht="15" hidden="false" customHeight="true" outlineLevel="0" collapsed="false">
      <c r="A25" s="18" t="n">
        <v>22</v>
      </c>
      <c r="B25" s="18"/>
      <c r="C25" s="17"/>
      <c r="D25" s="17"/>
      <c r="E25" s="18"/>
      <c r="F25" s="18"/>
      <c r="G25" s="18"/>
      <c r="H25" s="18"/>
      <c r="I25" s="18" t="str">
        <f aca="false">IF(F25*H25=0,"",F25*H25)</f>
        <v/>
      </c>
      <c r="J25" s="18"/>
      <c r="K25" s="17"/>
    </row>
    <row r="26" customFormat="false" ht="15" hidden="false" customHeight="true" outlineLevel="0" collapsed="false">
      <c r="A26" s="15" t="n">
        <v>23</v>
      </c>
      <c r="B26" s="15"/>
      <c r="C26" s="13"/>
      <c r="D26" s="13"/>
      <c r="E26" s="15"/>
      <c r="F26" s="15"/>
      <c r="G26" s="15"/>
      <c r="H26" s="15"/>
      <c r="I26" s="15" t="str">
        <f aca="false">IF(F26*H26=0,"",F26*H26)</f>
        <v/>
      </c>
      <c r="J26" s="15"/>
      <c r="K26" s="13"/>
    </row>
    <row r="27" customFormat="false" ht="15" hidden="false" customHeight="true" outlineLevel="0" collapsed="false">
      <c r="A27" s="18" t="n">
        <v>24</v>
      </c>
      <c r="B27" s="18"/>
      <c r="C27" s="17"/>
      <c r="D27" s="17"/>
      <c r="E27" s="18"/>
      <c r="F27" s="18"/>
      <c r="G27" s="18"/>
      <c r="H27" s="18"/>
      <c r="I27" s="18" t="str">
        <f aca="false">IF(F27*H27=0,"",F27*H27)</f>
        <v/>
      </c>
      <c r="J27" s="18"/>
      <c r="K27" s="17"/>
    </row>
    <row r="28" customFormat="false" ht="15" hidden="false" customHeight="true" outlineLevel="0" collapsed="false">
      <c r="A28" s="15" t="n">
        <v>25</v>
      </c>
      <c r="B28" s="15"/>
      <c r="C28" s="13"/>
      <c r="D28" s="13"/>
      <c r="E28" s="15"/>
      <c r="F28" s="15"/>
      <c r="G28" s="15"/>
      <c r="H28" s="15"/>
      <c r="I28" s="15" t="str">
        <f aca="false">IF(F28*H28=0,"",F28*H28)</f>
        <v/>
      </c>
      <c r="J28" s="15"/>
      <c r="K28" s="13"/>
    </row>
    <row r="29" customFormat="false" ht="15" hidden="false" customHeight="true" outlineLevel="0" collapsed="false">
      <c r="A29" s="18" t="n">
        <v>26</v>
      </c>
      <c r="B29" s="18"/>
      <c r="C29" s="17"/>
      <c r="D29" s="17"/>
      <c r="E29" s="18"/>
      <c r="F29" s="18"/>
      <c r="G29" s="18"/>
      <c r="H29" s="18"/>
      <c r="I29" s="18" t="str">
        <f aca="false">IF(F29*H29=0,"",F29*H29)</f>
        <v/>
      </c>
      <c r="J29" s="18"/>
      <c r="K29" s="17"/>
    </row>
    <row r="30" customFormat="false" ht="15" hidden="false" customHeight="true" outlineLevel="0" collapsed="false">
      <c r="A30" s="15" t="n">
        <v>27</v>
      </c>
      <c r="B30" s="15"/>
      <c r="C30" s="13"/>
      <c r="D30" s="13"/>
      <c r="E30" s="15"/>
      <c r="F30" s="15"/>
      <c r="G30" s="15"/>
      <c r="H30" s="15"/>
      <c r="I30" s="15" t="str">
        <f aca="false">IF(F30*H30=0,"",F30*H30)</f>
        <v/>
      </c>
      <c r="J30" s="15"/>
      <c r="K30" s="13"/>
    </row>
    <row r="31" customFormat="false" ht="15" hidden="false" customHeight="true" outlineLevel="0" collapsed="false">
      <c r="A31" s="18" t="n">
        <v>28</v>
      </c>
      <c r="B31" s="18"/>
      <c r="C31" s="17"/>
      <c r="D31" s="17"/>
      <c r="E31" s="18"/>
      <c r="F31" s="18"/>
      <c r="G31" s="18"/>
      <c r="H31" s="18"/>
      <c r="I31" s="18" t="str">
        <f aca="false">IF(F31*H31=0,"",F31*H31)</f>
        <v/>
      </c>
      <c r="J31" s="18"/>
      <c r="K31" s="17"/>
    </row>
    <row r="32" customFormat="false" ht="15" hidden="false" customHeight="true" outlineLevel="0" collapsed="false">
      <c r="A32" s="15" t="n">
        <v>29</v>
      </c>
      <c r="B32" s="15"/>
      <c r="C32" s="13"/>
      <c r="D32" s="13"/>
      <c r="E32" s="15"/>
      <c r="F32" s="15"/>
      <c r="G32" s="15"/>
      <c r="H32" s="15"/>
      <c r="I32" s="15" t="str">
        <f aca="false">IF(F32*H32=0,"",F32*H32)</f>
        <v/>
      </c>
      <c r="J32" s="15"/>
      <c r="K32" s="13"/>
    </row>
    <row r="33" customFormat="false" ht="15" hidden="false" customHeight="true" outlineLevel="0" collapsed="false">
      <c r="A33" s="18" t="n">
        <v>30</v>
      </c>
      <c r="B33" s="18"/>
      <c r="C33" s="17"/>
      <c r="D33" s="17"/>
      <c r="E33" s="18"/>
      <c r="F33" s="18"/>
      <c r="G33" s="18"/>
      <c r="H33" s="18"/>
      <c r="I33" s="18" t="str">
        <f aca="false">IF(F33*H33=0,"",F33*H33)</f>
        <v/>
      </c>
      <c r="J33" s="18"/>
      <c r="K33" s="17"/>
    </row>
    <row r="34" customFormat="false" ht="16.5" hidden="false" customHeight="true" outlineLevel="0" collapsed="false">
      <c r="A34" s="23" t="s">
        <v>351</v>
      </c>
      <c r="I34" s="24" t="n">
        <f aca="false">SUM(I4:I33)</f>
        <v>0</v>
      </c>
    </row>
    <row r="35" customFormat="false" ht="4.5" hidden="false" customHeight="true" outlineLevel="0" collapsed="false"/>
    <row r="36" customFormat="false" ht="21.75" hidden="false" customHeight="true" outlineLevel="0" collapsed="false">
      <c r="A36" s="5" t="s">
        <v>352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18" hidden="false" customHeight="true" outlineLevel="0" collapsed="false">
      <c r="A37" s="11" t="s">
        <v>353</v>
      </c>
      <c r="B37" s="11" t="s">
        <v>354</v>
      </c>
      <c r="C37" s="11" t="s">
        <v>355</v>
      </c>
      <c r="D37" s="11" t="s">
        <v>356</v>
      </c>
      <c r="E37" s="11" t="s">
        <v>357</v>
      </c>
      <c r="F37" s="11" t="s">
        <v>358</v>
      </c>
    </row>
    <row r="38" customFormat="false" ht="15.75" hidden="false" customHeight="true" outlineLevel="0" collapsed="false">
      <c r="A38" s="22" t="s">
        <v>359</v>
      </c>
      <c r="B38" s="15"/>
      <c r="C38" s="15"/>
      <c r="D38" s="15"/>
      <c r="E38" s="15"/>
      <c r="F38" s="15" t="str">
        <f aca="false">IF(SUM(B38:E38)=0,"",SUM(B38:E38))</f>
        <v/>
      </c>
    </row>
    <row r="39" customFormat="false" ht="15.75" hidden="false" customHeight="true" outlineLevel="0" collapsed="false">
      <c r="A39" s="22" t="s">
        <v>360</v>
      </c>
      <c r="B39" s="18"/>
      <c r="C39" s="18"/>
      <c r="D39" s="18"/>
      <c r="E39" s="18"/>
      <c r="F39" s="18" t="str">
        <f aca="false">IF(SUM(B39:E39)=0,"",SUM(B39:E39))</f>
        <v/>
      </c>
    </row>
    <row r="40" customFormat="false" ht="15.75" hidden="false" customHeight="true" outlineLevel="0" collapsed="false">
      <c r="A40" s="22" t="s">
        <v>361</v>
      </c>
      <c r="B40" s="15"/>
      <c r="C40" s="15"/>
      <c r="D40" s="15"/>
      <c r="E40" s="15"/>
      <c r="F40" s="15" t="str">
        <f aca="false">IF(SUM(B40:E40)=0,"",SUM(B40:E40))</f>
        <v/>
      </c>
    </row>
    <row r="41" customFormat="false" ht="15.75" hidden="false" customHeight="true" outlineLevel="0" collapsed="false">
      <c r="A41" s="22" t="s">
        <v>362</v>
      </c>
      <c r="B41" s="18"/>
      <c r="C41" s="18"/>
      <c r="D41" s="18"/>
      <c r="E41" s="18"/>
      <c r="F41" s="18" t="str">
        <f aca="false">IF(SUM(B41:E41)=0,"",SUM(B41:E41))</f>
        <v/>
      </c>
    </row>
    <row r="42" customFormat="false" ht="15.75" hidden="false" customHeight="true" outlineLevel="0" collapsed="false">
      <c r="A42" s="22" t="s">
        <v>363</v>
      </c>
      <c r="B42" s="15" t="str">
        <f aca="false">IF(SUM(B38:B41)=0,"",SUM(B38:B41))</f>
        <v/>
      </c>
      <c r="C42" s="15" t="str">
        <f aca="false">IF(SUM(C38:C41)=0,"",SUM(C38:C41))</f>
        <v/>
      </c>
      <c r="D42" s="15" t="str">
        <f aca="false">IF(SUM(D38:D41)=0,"",SUM(D38:D41))</f>
        <v/>
      </c>
      <c r="E42" s="15" t="str">
        <f aca="false">IF(SUM(E38:E41)=0,"",SUM(E38:E41))</f>
        <v/>
      </c>
      <c r="F42" s="15" t="str">
        <f aca="false">IF(SUM(B42:E42)=0,"",SUM(B42:E42))</f>
        <v/>
      </c>
    </row>
    <row r="43" customFormat="false" ht="15.75" hidden="false" customHeight="true" outlineLevel="0" collapsed="false">
      <c r="A43" s="22" t="s">
        <v>364</v>
      </c>
      <c r="B43" s="18"/>
      <c r="C43" s="18"/>
      <c r="D43" s="18"/>
      <c r="E43" s="18"/>
      <c r="F43" s="18" t="str">
        <f aca="false">IF(SUM(B43:E43)=0,"",SUM(B43:E43))</f>
        <v/>
      </c>
    </row>
    <row r="44" customFormat="false" ht="15.75" hidden="false" customHeight="true" outlineLevel="0" collapsed="false">
      <c r="A44" s="22" t="s">
        <v>365</v>
      </c>
      <c r="B44" s="15"/>
      <c r="C44" s="15"/>
      <c r="D44" s="15"/>
      <c r="E44" s="15"/>
      <c r="F44" s="15" t="str">
        <f aca="false">IF(SUM(B44:E44)=0,"",SUM(B44:E44))</f>
        <v/>
      </c>
    </row>
    <row r="45" customFormat="false" ht="4.5" hidden="false" customHeight="true" outlineLevel="0" collapsed="false"/>
    <row r="46" customFormat="false" ht="18" hidden="false" customHeight="true" outlineLevel="0" collapsed="false">
      <c r="A46" s="9" t="s">
        <v>53</v>
      </c>
      <c r="B46" s="9"/>
      <c r="C46" s="9"/>
      <c r="D46" s="9"/>
      <c r="E46" s="9"/>
      <c r="F46" s="9"/>
      <c r="G46" s="9"/>
      <c r="H46" s="9"/>
      <c r="I46" s="9"/>
      <c r="J46" s="9"/>
      <c r="K46" s="9"/>
    </row>
  </sheetData>
  <mergeCells count="5">
    <mergeCell ref="A1:E1"/>
    <mergeCell ref="F1:K1"/>
    <mergeCell ref="A2:K2"/>
    <mergeCell ref="A36:K36"/>
    <mergeCell ref="A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</row>
    <row r="2" customFormat="false" ht="21.75" hidden="false" customHeight="true" outlineLevel="0" collapsed="false">
      <c r="A2" s="5" t="s">
        <v>366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8" hidden="false" customHeight="true" outlineLevel="0" collapsed="false">
      <c r="A3" s="11" t="s">
        <v>341</v>
      </c>
      <c r="B3" s="11" t="s">
        <v>342</v>
      </c>
      <c r="C3" s="11" t="s">
        <v>367</v>
      </c>
      <c r="D3" s="11" t="s">
        <v>368</v>
      </c>
      <c r="E3" s="11" t="s">
        <v>369</v>
      </c>
      <c r="F3" s="11" t="s">
        <v>370</v>
      </c>
      <c r="G3" s="11" t="s">
        <v>371</v>
      </c>
      <c r="H3" s="11" t="s">
        <v>372</v>
      </c>
      <c r="I3" s="11" t="s">
        <v>373</v>
      </c>
      <c r="J3" s="11" t="s">
        <v>374</v>
      </c>
      <c r="K3" s="11" t="s">
        <v>375</v>
      </c>
    </row>
    <row r="4" customFormat="false" ht="15" hidden="false" customHeight="true" outlineLevel="0" collapsed="false">
      <c r="A4" s="15" t="n">
        <v>1</v>
      </c>
      <c r="B4" s="15"/>
      <c r="C4" s="15"/>
      <c r="D4" s="15"/>
      <c r="E4" s="13"/>
      <c r="F4" s="13"/>
      <c r="G4" s="15"/>
      <c r="H4" s="15"/>
      <c r="I4" s="15"/>
      <c r="J4" s="15"/>
      <c r="K4" s="15"/>
    </row>
    <row r="5" customFormat="false" ht="15" hidden="false" customHeight="true" outlineLevel="0" collapsed="false">
      <c r="A5" s="18" t="n">
        <v>2</v>
      </c>
      <c r="B5" s="18"/>
      <c r="C5" s="18"/>
      <c r="D5" s="18"/>
      <c r="E5" s="17"/>
      <c r="F5" s="17"/>
      <c r="G5" s="18"/>
      <c r="H5" s="18"/>
      <c r="I5" s="18"/>
      <c r="J5" s="18"/>
      <c r="K5" s="18"/>
    </row>
    <row r="6" customFormat="false" ht="15" hidden="false" customHeight="true" outlineLevel="0" collapsed="false">
      <c r="A6" s="15" t="n">
        <v>3</v>
      </c>
      <c r="B6" s="15"/>
      <c r="C6" s="15"/>
      <c r="D6" s="15"/>
      <c r="E6" s="13"/>
      <c r="F6" s="13"/>
      <c r="G6" s="15"/>
      <c r="H6" s="15"/>
      <c r="I6" s="15"/>
      <c r="J6" s="15"/>
      <c r="K6" s="15"/>
    </row>
    <row r="7" customFormat="false" ht="15" hidden="false" customHeight="true" outlineLevel="0" collapsed="false">
      <c r="A7" s="18" t="n">
        <v>4</v>
      </c>
      <c r="B7" s="18"/>
      <c r="C7" s="18"/>
      <c r="D7" s="18"/>
      <c r="E7" s="17"/>
      <c r="F7" s="17"/>
      <c r="G7" s="18"/>
      <c r="H7" s="18"/>
      <c r="I7" s="18"/>
      <c r="J7" s="18"/>
      <c r="K7" s="18"/>
    </row>
    <row r="8" customFormat="false" ht="15" hidden="false" customHeight="true" outlineLevel="0" collapsed="false">
      <c r="A8" s="15" t="n">
        <v>5</v>
      </c>
      <c r="B8" s="15"/>
      <c r="C8" s="15"/>
      <c r="D8" s="15"/>
      <c r="E8" s="13"/>
      <c r="F8" s="13"/>
      <c r="G8" s="15"/>
      <c r="H8" s="15"/>
      <c r="I8" s="15"/>
      <c r="J8" s="15"/>
      <c r="K8" s="15"/>
    </row>
    <row r="9" customFormat="false" ht="15" hidden="false" customHeight="true" outlineLevel="0" collapsed="false">
      <c r="A9" s="18" t="n">
        <v>6</v>
      </c>
      <c r="B9" s="18"/>
      <c r="C9" s="18"/>
      <c r="D9" s="18"/>
      <c r="E9" s="17"/>
      <c r="F9" s="17"/>
      <c r="G9" s="18"/>
      <c r="H9" s="18"/>
      <c r="I9" s="18"/>
      <c r="J9" s="18"/>
      <c r="K9" s="18"/>
    </row>
    <row r="10" customFormat="false" ht="15" hidden="false" customHeight="true" outlineLevel="0" collapsed="false">
      <c r="A10" s="15" t="n">
        <v>7</v>
      </c>
      <c r="B10" s="15"/>
      <c r="C10" s="15"/>
      <c r="D10" s="15"/>
      <c r="E10" s="13"/>
      <c r="F10" s="13"/>
      <c r="G10" s="15"/>
      <c r="H10" s="15"/>
      <c r="I10" s="15"/>
      <c r="J10" s="15"/>
      <c r="K10" s="15"/>
    </row>
    <row r="11" customFormat="false" ht="15" hidden="false" customHeight="true" outlineLevel="0" collapsed="false">
      <c r="A11" s="18" t="n">
        <v>8</v>
      </c>
      <c r="B11" s="18"/>
      <c r="C11" s="18"/>
      <c r="D11" s="18"/>
      <c r="E11" s="17"/>
      <c r="F11" s="17"/>
      <c r="G11" s="18"/>
      <c r="H11" s="18"/>
      <c r="I11" s="18"/>
      <c r="J11" s="18"/>
      <c r="K11" s="18"/>
    </row>
    <row r="12" customFormat="false" ht="15" hidden="false" customHeight="true" outlineLevel="0" collapsed="false">
      <c r="A12" s="15" t="n">
        <v>9</v>
      </c>
      <c r="B12" s="15"/>
      <c r="C12" s="15"/>
      <c r="D12" s="15"/>
      <c r="E12" s="13"/>
      <c r="F12" s="13"/>
      <c r="G12" s="15"/>
      <c r="H12" s="15"/>
      <c r="I12" s="15"/>
      <c r="J12" s="15"/>
      <c r="K12" s="15"/>
    </row>
    <row r="13" customFormat="false" ht="15" hidden="false" customHeight="true" outlineLevel="0" collapsed="false">
      <c r="A13" s="18" t="n">
        <v>10</v>
      </c>
      <c r="B13" s="18"/>
      <c r="C13" s="18"/>
      <c r="D13" s="18"/>
      <c r="E13" s="17"/>
      <c r="F13" s="17"/>
      <c r="G13" s="18"/>
      <c r="H13" s="18"/>
      <c r="I13" s="18"/>
      <c r="J13" s="18"/>
      <c r="K13" s="18"/>
    </row>
    <row r="14" customFormat="false" ht="15" hidden="false" customHeight="true" outlineLevel="0" collapsed="false">
      <c r="A14" s="15" t="n">
        <v>11</v>
      </c>
      <c r="B14" s="15"/>
      <c r="C14" s="15"/>
      <c r="D14" s="15"/>
      <c r="E14" s="13"/>
      <c r="F14" s="13"/>
      <c r="G14" s="15"/>
      <c r="H14" s="15"/>
      <c r="I14" s="15"/>
      <c r="J14" s="15"/>
      <c r="K14" s="15"/>
    </row>
    <row r="15" customFormat="false" ht="15" hidden="false" customHeight="true" outlineLevel="0" collapsed="false">
      <c r="A15" s="18" t="n">
        <v>12</v>
      </c>
      <c r="B15" s="18"/>
      <c r="C15" s="18"/>
      <c r="D15" s="18"/>
      <c r="E15" s="17"/>
      <c r="F15" s="17"/>
      <c r="G15" s="18"/>
      <c r="H15" s="18"/>
      <c r="I15" s="18"/>
      <c r="J15" s="18"/>
      <c r="K15" s="18"/>
    </row>
    <row r="16" customFormat="false" ht="15" hidden="false" customHeight="true" outlineLevel="0" collapsed="false">
      <c r="A16" s="15" t="n">
        <v>13</v>
      </c>
      <c r="B16" s="15"/>
      <c r="C16" s="15"/>
      <c r="D16" s="15"/>
      <c r="E16" s="13"/>
      <c r="F16" s="13"/>
      <c r="G16" s="15"/>
      <c r="H16" s="15"/>
      <c r="I16" s="15"/>
      <c r="J16" s="15"/>
      <c r="K16" s="15"/>
    </row>
    <row r="17" customFormat="false" ht="15" hidden="false" customHeight="true" outlineLevel="0" collapsed="false">
      <c r="A17" s="18" t="n">
        <v>14</v>
      </c>
      <c r="B17" s="18"/>
      <c r="C17" s="18"/>
      <c r="D17" s="18"/>
      <c r="E17" s="17"/>
      <c r="F17" s="17"/>
      <c r="G17" s="18"/>
      <c r="H17" s="18"/>
      <c r="I17" s="18"/>
      <c r="J17" s="18"/>
      <c r="K17" s="18"/>
    </row>
    <row r="18" customFormat="false" ht="15" hidden="false" customHeight="true" outlineLevel="0" collapsed="false">
      <c r="A18" s="15" t="n">
        <v>15</v>
      </c>
      <c r="B18" s="15"/>
      <c r="C18" s="15"/>
      <c r="D18" s="15"/>
      <c r="E18" s="13"/>
      <c r="F18" s="13"/>
      <c r="G18" s="15"/>
      <c r="H18" s="15"/>
      <c r="I18" s="15"/>
      <c r="J18" s="15"/>
      <c r="K18" s="15"/>
    </row>
    <row r="19" customFormat="false" ht="15" hidden="false" customHeight="true" outlineLevel="0" collapsed="false">
      <c r="A19" s="18" t="n">
        <v>16</v>
      </c>
      <c r="B19" s="18"/>
      <c r="C19" s="18"/>
      <c r="D19" s="18"/>
      <c r="E19" s="17"/>
      <c r="F19" s="17"/>
      <c r="G19" s="18"/>
      <c r="H19" s="18"/>
      <c r="I19" s="18"/>
      <c r="J19" s="18"/>
      <c r="K19" s="18"/>
    </row>
    <row r="20" customFormat="false" ht="15" hidden="false" customHeight="true" outlineLevel="0" collapsed="false">
      <c r="A20" s="15" t="n">
        <v>17</v>
      </c>
      <c r="B20" s="15"/>
      <c r="C20" s="15"/>
      <c r="D20" s="15"/>
      <c r="E20" s="13"/>
      <c r="F20" s="13"/>
      <c r="G20" s="15"/>
      <c r="H20" s="15"/>
      <c r="I20" s="15"/>
      <c r="J20" s="15"/>
      <c r="K20" s="15"/>
    </row>
    <row r="21" customFormat="false" ht="15" hidden="false" customHeight="true" outlineLevel="0" collapsed="false">
      <c r="A21" s="18" t="n">
        <v>18</v>
      </c>
      <c r="B21" s="18"/>
      <c r="C21" s="18"/>
      <c r="D21" s="18"/>
      <c r="E21" s="17"/>
      <c r="F21" s="17"/>
      <c r="G21" s="18"/>
      <c r="H21" s="18"/>
      <c r="I21" s="18"/>
      <c r="J21" s="18"/>
      <c r="K21" s="18"/>
    </row>
    <row r="22" customFormat="false" ht="15" hidden="false" customHeight="true" outlineLevel="0" collapsed="false">
      <c r="A22" s="15" t="n">
        <v>19</v>
      </c>
      <c r="B22" s="15"/>
      <c r="C22" s="15"/>
      <c r="D22" s="15"/>
      <c r="E22" s="13"/>
      <c r="F22" s="13"/>
      <c r="G22" s="15"/>
      <c r="H22" s="15"/>
      <c r="I22" s="15"/>
      <c r="J22" s="15"/>
      <c r="K22" s="15"/>
    </row>
    <row r="23" customFormat="false" ht="15" hidden="false" customHeight="true" outlineLevel="0" collapsed="false">
      <c r="A23" s="18" t="n">
        <v>20</v>
      </c>
      <c r="B23" s="18"/>
      <c r="C23" s="18"/>
      <c r="D23" s="18"/>
      <c r="E23" s="17"/>
      <c r="F23" s="17"/>
      <c r="G23" s="18"/>
      <c r="H23" s="18"/>
      <c r="I23" s="18"/>
      <c r="J23" s="18"/>
      <c r="K23" s="18"/>
    </row>
    <row r="24" customFormat="false" ht="15" hidden="false" customHeight="true" outlineLevel="0" collapsed="false">
      <c r="A24" s="15" t="n">
        <v>21</v>
      </c>
      <c r="B24" s="15"/>
      <c r="C24" s="15"/>
      <c r="D24" s="15"/>
      <c r="E24" s="13"/>
      <c r="F24" s="13"/>
      <c r="G24" s="15"/>
      <c r="H24" s="15"/>
      <c r="I24" s="15"/>
      <c r="J24" s="15"/>
      <c r="K24" s="15"/>
    </row>
    <row r="25" customFormat="false" ht="15" hidden="false" customHeight="true" outlineLevel="0" collapsed="false">
      <c r="A25" s="18" t="n">
        <v>22</v>
      </c>
      <c r="B25" s="18"/>
      <c r="C25" s="18"/>
      <c r="D25" s="18"/>
      <c r="E25" s="17"/>
      <c r="F25" s="17"/>
      <c r="G25" s="18"/>
      <c r="H25" s="18"/>
      <c r="I25" s="18"/>
      <c r="J25" s="18"/>
      <c r="K25" s="18"/>
    </row>
    <row r="26" customFormat="false" ht="15" hidden="false" customHeight="true" outlineLevel="0" collapsed="false">
      <c r="A26" s="15" t="n">
        <v>23</v>
      </c>
      <c r="B26" s="15"/>
      <c r="C26" s="15"/>
      <c r="D26" s="15"/>
      <c r="E26" s="13"/>
      <c r="F26" s="13"/>
      <c r="G26" s="15"/>
      <c r="H26" s="15"/>
      <c r="I26" s="15"/>
      <c r="J26" s="15"/>
      <c r="K26" s="15"/>
    </row>
    <row r="27" customFormat="false" ht="15" hidden="false" customHeight="true" outlineLevel="0" collapsed="false">
      <c r="A27" s="18" t="n">
        <v>24</v>
      </c>
      <c r="B27" s="18"/>
      <c r="C27" s="18"/>
      <c r="D27" s="18"/>
      <c r="E27" s="17"/>
      <c r="F27" s="17"/>
      <c r="G27" s="18"/>
      <c r="H27" s="18"/>
      <c r="I27" s="18"/>
      <c r="J27" s="18"/>
      <c r="K27" s="18"/>
    </row>
    <row r="28" customFormat="false" ht="15" hidden="false" customHeight="true" outlineLevel="0" collapsed="false">
      <c r="A28" s="15" t="n">
        <v>25</v>
      </c>
      <c r="B28" s="15"/>
      <c r="C28" s="15"/>
      <c r="D28" s="15"/>
      <c r="E28" s="13"/>
      <c r="F28" s="13"/>
      <c r="G28" s="15"/>
      <c r="H28" s="15"/>
      <c r="I28" s="15"/>
      <c r="J28" s="15"/>
      <c r="K28" s="15"/>
    </row>
    <row r="29" customFormat="false" ht="15" hidden="false" customHeight="true" outlineLevel="0" collapsed="false">
      <c r="A29" s="18" t="n">
        <v>26</v>
      </c>
      <c r="B29" s="18"/>
      <c r="C29" s="18"/>
      <c r="D29" s="18"/>
      <c r="E29" s="17"/>
      <c r="F29" s="17"/>
      <c r="G29" s="18"/>
      <c r="H29" s="18"/>
      <c r="I29" s="18"/>
      <c r="J29" s="18"/>
      <c r="K29" s="18"/>
    </row>
    <row r="30" customFormat="false" ht="15" hidden="false" customHeight="true" outlineLevel="0" collapsed="false">
      <c r="A30" s="15" t="n">
        <v>27</v>
      </c>
      <c r="B30" s="15"/>
      <c r="C30" s="15"/>
      <c r="D30" s="15"/>
      <c r="E30" s="13"/>
      <c r="F30" s="13"/>
      <c r="G30" s="15"/>
      <c r="H30" s="15"/>
      <c r="I30" s="15"/>
      <c r="J30" s="15"/>
      <c r="K30" s="15"/>
    </row>
    <row r="31" customFormat="false" ht="15" hidden="false" customHeight="true" outlineLevel="0" collapsed="false">
      <c r="A31" s="18" t="n">
        <v>28</v>
      </c>
      <c r="B31" s="18"/>
      <c r="C31" s="18"/>
      <c r="D31" s="18"/>
      <c r="E31" s="17"/>
      <c r="F31" s="17"/>
      <c r="G31" s="18"/>
      <c r="H31" s="18"/>
      <c r="I31" s="18"/>
      <c r="J31" s="18"/>
      <c r="K31" s="18"/>
    </row>
    <row r="32" customFormat="false" ht="15" hidden="false" customHeight="true" outlineLevel="0" collapsed="false">
      <c r="A32" s="15" t="n">
        <v>29</v>
      </c>
      <c r="B32" s="15"/>
      <c r="C32" s="15"/>
      <c r="D32" s="15"/>
      <c r="E32" s="13"/>
      <c r="F32" s="13"/>
      <c r="G32" s="15"/>
      <c r="H32" s="15"/>
      <c r="I32" s="15"/>
      <c r="J32" s="15"/>
      <c r="K32" s="15"/>
    </row>
    <row r="33" customFormat="false" ht="15" hidden="false" customHeight="true" outlineLevel="0" collapsed="false">
      <c r="A33" s="18" t="n">
        <v>30</v>
      </c>
      <c r="B33" s="18"/>
      <c r="C33" s="18"/>
      <c r="D33" s="18"/>
      <c r="E33" s="17"/>
      <c r="F33" s="17"/>
      <c r="G33" s="18"/>
      <c r="H33" s="18"/>
      <c r="I33" s="18"/>
      <c r="J33" s="18"/>
      <c r="K33" s="18"/>
    </row>
    <row r="34" customFormat="false" ht="4.5" hidden="false" customHeight="true" outlineLevel="0" collapsed="false"/>
    <row r="35" customFormat="false" ht="21.75" hidden="false" customHeight="true" outlineLevel="0" collapsed="false">
      <c r="A35" s="5" t="s">
        <v>376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.75" hidden="false" customHeight="true" outlineLevel="0" collapsed="false">
      <c r="A36" s="7" t="s">
        <v>377</v>
      </c>
      <c r="B36" s="7"/>
      <c r="C36" s="7"/>
      <c r="D36" s="7"/>
      <c r="E36" s="7"/>
      <c r="F36" s="7"/>
      <c r="G36" s="19" t="n">
        <f aca="false">COUNTA(C4:C33)</f>
        <v>0</v>
      </c>
    </row>
    <row r="37" customFormat="false" ht="15.75" hidden="false" customHeight="true" outlineLevel="0" collapsed="false">
      <c r="A37" s="7" t="s">
        <v>378</v>
      </c>
      <c r="B37" s="7"/>
      <c r="C37" s="7"/>
      <c r="D37" s="7"/>
      <c r="E37" s="7"/>
      <c r="F37" s="7"/>
      <c r="G37" s="19" t="n">
        <f aca="false">COUNTIF(B4:B33,"Q1")</f>
        <v>0</v>
      </c>
    </row>
    <row r="38" customFormat="false" ht="15.75" hidden="false" customHeight="true" outlineLevel="0" collapsed="false">
      <c r="A38" s="7" t="s">
        <v>379</v>
      </c>
      <c r="B38" s="7"/>
      <c r="C38" s="7"/>
      <c r="D38" s="7"/>
      <c r="E38" s="7"/>
      <c r="F38" s="7"/>
      <c r="G38" s="19" t="n">
        <f aca="false">COUNTIF(B4:B33,"Q2")</f>
        <v>0</v>
      </c>
    </row>
    <row r="39" customFormat="false" ht="15.75" hidden="false" customHeight="true" outlineLevel="0" collapsed="false">
      <c r="A39" s="7" t="s">
        <v>380</v>
      </c>
      <c r="B39" s="7"/>
      <c r="C39" s="7"/>
      <c r="D39" s="7"/>
      <c r="E39" s="7"/>
      <c r="F39" s="7"/>
      <c r="G39" s="19" t="n">
        <f aca="false">COUNTIF(B4:B33,"Q3")</f>
        <v>0</v>
      </c>
    </row>
    <row r="40" customFormat="false" ht="15.75" hidden="false" customHeight="true" outlineLevel="0" collapsed="false">
      <c r="A40" s="7" t="s">
        <v>381</v>
      </c>
      <c r="B40" s="7"/>
      <c r="C40" s="7"/>
      <c r="D40" s="7"/>
      <c r="E40" s="7"/>
      <c r="F40" s="7"/>
      <c r="G40" s="19" t="n">
        <f aca="false">COUNTIF(B4:B33,"Q4")</f>
        <v>0</v>
      </c>
    </row>
    <row r="41" customFormat="false" ht="15.75" hidden="false" customHeight="true" outlineLevel="0" collapsed="false">
      <c r="A41" s="7" t="s">
        <v>382</v>
      </c>
      <c r="B41" s="7"/>
      <c r="C41" s="7"/>
      <c r="D41" s="7"/>
      <c r="E41" s="7"/>
      <c r="F41" s="7"/>
      <c r="G41" s="19" t="n">
        <f aca="false">COUNTIF(K4:K33,"Open")</f>
        <v>0</v>
      </c>
    </row>
    <row r="42" customFormat="false" ht="15.75" hidden="false" customHeight="true" outlineLevel="0" collapsed="false">
      <c r="A42" s="7" t="s">
        <v>383</v>
      </c>
      <c r="B42" s="7"/>
      <c r="C42" s="7"/>
      <c r="D42" s="7"/>
      <c r="E42" s="7"/>
      <c r="F42" s="7"/>
      <c r="G42" s="19" t="n">
        <f aca="false">COUNTIF(K4:K33,"Closed")</f>
        <v>0</v>
      </c>
    </row>
    <row r="43" customFormat="false" ht="15.75" hidden="false" customHeight="true" outlineLevel="0" collapsed="false">
      <c r="A43" s="7" t="s">
        <v>384</v>
      </c>
      <c r="B43" s="7"/>
      <c r="C43" s="7"/>
      <c r="D43" s="7"/>
      <c r="E43" s="7"/>
      <c r="F43" s="7"/>
      <c r="G43" s="19" t="n">
        <f aca="false">COUNTIF(J4:J33,"Critical")</f>
        <v>0</v>
      </c>
    </row>
    <row r="44" customFormat="false" ht="15.75" hidden="false" customHeight="true" outlineLevel="0" collapsed="false">
      <c r="A44" s="7" t="s">
        <v>385</v>
      </c>
      <c r="B44" s="7"/>
      <c r="C44" s="7"/>
      <c r="D44" s="7"/>
      <c r="E44" s="7"/>
      <c r="F44" s="7"/>
      <c r="G44" s="19" t="n">
        <f aca="true">COUNTIFS(H4:H33,"&lt;"&amp;TODAY(),K4:K33,"Open")</f>
        <v>0</v>
      </c>
    </row>
    <row r="45" customFormat="false" ht="4.5" hidden="false" customHeight="true" outlineLevel="0" collapsed="false"/>
    <row r="46" customFormat="false" ht="18" hidden="false" customHeight="true" outlineLevel="0" collapsed="false">
      <c r="A46" s="9" t="s">
        <v>53</v>
      </c>
      <c r="B46" s="9"/>
      <c r="C46" s="9"/>
      <c r="D46" s="9"/>
      <c r="E46" s="9"/>
      <c r="F46" s="9"/>
      <c r="G46" s="9"/>
      <c r="H46" s="9"/>
      <c r="I46" s="9"/>
      <c r="J46" s="9"/>
      <c r="K46" s="9"/>
    </row>
  </sheetData>
  <mergeCells count="14">
    <mergeCell ref="A1:E1"/>
    <mergeCell ref="F1:K1"/>
    <mergeCell ref="A2:K2"/>
    <mergeCell ref="A35:K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386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8" hidden="false" customHeight="true" outlineLevel="0" collapsed="false">
      <c r="A3" s="7" t="s">
        <v>387</v>
      </c>
      <c r="B3" s="7"/>
      <c r="C3" s="7"/>
      <c r="D3" s="7"/>
      <c r="E3" s="7"/>
      <c r="F3" s="7"/>
      <c r="G3" s="7"/>
      <c r="H3" s="7"/>
      <c r="I3" s="7"/>
      <c r="J3" s="7"/>
    </row>
    <row r="4" customFormat="false" ht="4.5" hidden="false" customHeight="true" outlineLevel="0" collapsed="false"/>
    <row r="5" customFormat="false" ht="21.75" hidden="false" customHeight="true" outlineLevel="0" collapsed="false">
      <c r="A5" s="5" t="s">
        <v>388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8" hidden="false" customHeight="true" outlineLevel="0" collapsed="false">
      <c r="A6" s="11" t="s">
        <v>389</v>
      </c>
      <c r="B6" s="11" t="s">
        <v>354</v>
      </c>
      <c r="C6" s="11" t="s">
        <v>355</v>
      </c>
      <c r="D6" s="11" t="s">
        <v>356</v>
      </c>
      <c r="E6" s="11" t="s">
        <v>357</v>
      </c>
      <c r="F6" s="11" t="s">
        <v>358</v>
      </c>
      <c r="G6" s="11" t="s">
        <v>390</v>
      </c>
      <c r="H6" s="11" t="s">
        <v>375</v>
      </c>
    </row>
    <row r="7" customFormat="false" ht="15.75" hidden="false" customHeight="true" outlineLevel="0" collapsed="false">
      <c r="A7" s="22" t="s">
        <v>391</v>
      </c>
      <c r="B7" s="15"/>
      <c r="C7" s="15"/>
      <c r="D7" s="15"/>
      <c r="E7" s="15"/>
      <c r="F7" s="15" t="n">
        <f aca="false">SUM(B7:E7)</f>
        <v>0</v>
      </c>
      <c r="G7" s="15" t="s">
        <v>392</v>
      </c>
      <c r="H7" s="15"/>
    </row>
    <row r="8" customFormat="false" ht="15.75" hidden="false" customHeight="true" outlineLevel="0" collapsed="false">
      <c r="A8" s="22" t="s">
        <v>393</v>
      </c>
      <c r="B8" s="18"/>
      <c r="C8" s="18"/>
      <c r="D8" s="18"/>
      <c r="E8" s="18"/>
      <c r="F8" s="18" t="n">
        <f aca="false">SUM(B8:E8)</f>
        <v>0</v>
      </c>
      <c r="G8" s="18" t="s">
        <v>392</v>
      </c>
      <c r="H8" s="18"/>
    </row>
    <row r="9" customFormat="false" ht="15.75" hidden="false" customHeight="true" outlineLevel="0" collapsed="false">
      <c r="A9" s="22" t="s">
        <v>394</v>
      </c>
      <c r="B9" s="15"/>
      <c r="C9" s="15"/>
      <c r="D9" s="15"/>
      <c r="E9" s="15"/>
      <c r="F9" s="15" t="n">
        <f aca="false">SUM(B9:E9)</f>
        <v>0</v>
      </c>
      <c r="G9" s="15" t="s">
        <v>395</v>
      </c>
      <c r="H9" s="15"/>
    </row>
    <row r="10" customFormat="false" ht="15.75" hidden="false" customHeight="true" outlineLevel="0" collapsed="false">
      <c r="A10" s="22" t="s">
        <v>396</v>
      </c>
      <c r="B10" s="18" t="str">
        <f aca="false">IF(B7&gt;0,B8/B7,"")</f>
        <v/>
      </c>
      <c r="C10" s="18" t="str">
        <f aca="false">IF(C7&gt;0,C8/C7,"")</f>
        <v/>
      </c>
      <c r="D10" s="18" t="str">
        <f aca="false">IF(D7&gt;0,D8/D7,"")</f>
        <v/>
      </c>
      <c r="E10" s="18" t="str">
        <f aca="false">IF(E7&gt;0,E8/E7,"")</f>
        <v/>
      </c>
      <c r="F10" s="18" t="str">
        <f aca="false">IF(F7&gt;0,F8/F7,"")</f>
        <v/>
      </c>
      <c r="G10" s="18" t="s">
        <v>397</v>
      </c>
      <c r="H10" s="18"/>
    </row>
    <row r="11" customFormat="false" ht="15.75" hidden="false" customHeight="true" outlineLevel="0" collapsed="false">
      <c r="A11" s="22" t="s">
        <v>398</v>
      </c>
      <c r="B11" s="15"/>
      <c r="C11" s="15"/>
      <c r="D11" s="15"/>
      <c r="E11" s="15"/>
      <c r="F11" s="15" t="n">
        <f aca="false">SUM(B11:E11)</f>
        <v>0</v>
      </c>
      <c r="G11" s="15" t="s">
        <v>399</v>
      </c>
      <c r="H11" s="15"/>
    </row>
    <row r="12" customFormat="false" ht="15.75" hidden="false" customHeight="true" outlineLevel="0" collapsed="false">
      <c r="A12" s="22" t="s">
        <v>400</v>
      </c>
      <c r="B12" s="18"/>
      <c r="C12" s="18"/>
      <c r="D12" s="18"/>
      <c r="E12" s="18"/>
      <c r="F12" s="18" t="n">
        <f aca="false">SUM(B12:E12)</f>
        <v>0</v>
      </c>
      <c r="G12" s="18" t="s">
        <v>395</v>
      </c>
      <c r="H12" s="18"/>
    </row>
    <row r="13" customFormat="false" ht="15.75" hidden="false" customHeight="true" outlineLevel="0" collapsed="false">
      <c r="A13" s="22" t="s">
        <v>401</v>
      </c>
      <c r="B13" s="15"/>
      <c r="C13" s="15"/>
      <c r="D13" s="15"/>
      <c r="E13" s="15"/>
      <c r="F13" s="15" t="n">
        <f aca="false">SUM(B13:E13)</f>
        <v>0</v>
      </c>
      <c r="G13" s="15" t="s">
        <v>395</v>
      </c>
      <c r="H13" s="15"/>
    </row>
    <row r="14" customFormat="false" ht="15.75" hidden="false" customHeight="true" outlineLevel="0" collapsed="false">
      <c r="A14" s="22" t="s">
        <v>402</v>
      </c>
      <c r="B14" s="18"/>
      <c r="C14" s="18"/>
      <c r="D14" s="18"/>
      <c r="E14" s="18"/>
      <c r="F14" s="18" t="n">
        <f aca="false">SUM(B14:E14)</f>
        <v>0</v>
      </c>
      <c r="G14" s="18" t="s">
        <v>403</v>
      </c>
      <c r="H14" s="18"/>
    </row>
    <row r="15" customFormat="false" ht="4.5" hidden="false" customHeight="true" outlineLevel="0" collapsed="false"/>
    <row r="16" customFormat="false" ht="21.75" hidden="false" customHeight="true" outlineLevel="0" collapsed="false">
      <c r="A16" s="5" t="s">
        <v>404</v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8" hidden="false" customHeight="true" outlineLevel="0" collapsed="false">
      <c r="A17" s="11" t="s">
        <v>405</v>
      </c>
      <c r="B17" s="11" t="s">
        <v>390</v>
      </c>
      <c r="C17" s="11" t="s">
        <v>406</v>
      </c>
      <c r="D17" s="11" t="s">
        <v>57</v>
      </c>
      <c r="E17" s="11" t="s">
        <v>407</v>
      </c>
      <c r="F17" s="11" t="s">
        <v>58</v>
      </c>
      <c r="G17" s="11" t="s">
        <v>408</v>
      </c>
      <c r="H17" s="11" t="s">
        <v>59</v>
      </c>
      <c r="I17" s="11" t="s">
        <v>409</v>
      </c>
      <c r="J17" s="11" t="s">
        <v>60</v>
      </c>
    </row>
    <row r="18" customFormat="false" ht="15.75" hidden="false" customHeight="true" outlineLevel="0" collapsed="false">
      <c r="A18" s="22" t="s">
        <v>410</v>
      </c>
      <c r="B18" s="15" t="s">
        <v>397</v>
      </c>
      <c r="C18" s="19"/>
      <c r="D18" s="19"/>
      <c r="E18" s="19"/>
      <c r="F18" s="19"/>
      <c r="G18" s="19"/>
      <c r="H18" s="19"/>
      <c r="I18" s="19"/>
      <c r="J18" s="19"/>
    </row>
    <row r="19" customFormat="false" ht="15.75" hidden="false" customHeight="true" outlineLevel="0" collapsed="false">
      <c r="A19" s="22" t="s">
        <v>411</v>
      </c>
      <c r="B19" s="18" t="s">
        <v>412</v>
      </c>
      <c r="C19" s="19"/>
      <c r="D19" s="19"/>
      <c r="E19" s="19"/>
      <c r="F19" s="19"/>
      <c r="G19" s="19"/>
      <c r="H19" s="19"/>
      <c r="I19" s="19"/>
      <c r="J19" s="19"/>
    </row>
    <row r="20" customFormat="false" ht="15.75" hidden="false" customHeight="true" outlineLevel="0" collapsed="false">
      <c r="A20" s="22" t="s">
        <v>413</v>
      </c>
      <c r="B20" s="15" t="s">
        <v>414</v>
      </c>
      <c r="C20" s="19"/>
      <c r="D20" s="19"/>
      <c r="E20" s="19"/>
      <c r="F20" s="19"/>
      <c r="G20" s="19"/>
      <c r="H20" s="19"/>
      <c r="I20" s="19"/>
      <c r="J20" s="19"/>
    </row>
    <row r="21" customFormat="false" ht="15.75" hidden="false" customHeight="true" outlineLevel="0" collapsed="false">
      <c r="A21" s="22" t="s">
        <v>415</v>
      </c>
      <c r="B21" s="18" t="s">
        <v>416</v>
      </c>
      <c r="C21" s="19"/>
      <c r="D21" s="19"/>
      <c r="E21" s="19"/>
      <c r="F21" s="19"/>
      <c r="G21" s="19"/>
      <c r="H21" s="19"/>
      <c r="I21" s="19"/>
      <c r="J21" s="19"/>
    </row>
    <row r="22" customFormat="false" ht="15.75" hidden="false" customHeight="true" outlineLevel="0" collapsed="false">
      <c r="A22" s="22" t="s">
        <v>417</v>
      </c>
      <c r="B22" s="15" t="s">
        <v>418</v>
      </c>
      <c r="C22" s="19"/>
      <c r="D22" s="19"/>
      <c r="E22" s="19"/>
      <c r="F22" s="19"/>
      <c r="G22" s="19"/>
      <c r="H22" s="19"/>
      <c r="I22" s="19"/>
      <c r="J22" s="19"/>
    </row>
    <row r="23" customFormat="false" ht="15.75" hidden="false" customHeight="true" outlineLevel="0" collapsed="false">
      <c r="A23" s="22" t="s">
        <v>419</v>
      </c>
      <c r="B23" s="18" t="s">
        <v>395</v>
      </c>
      <c r="C23" s="19"/>
      <c r="D23" s="19"/>
      <c r="E23" s="19"/>
      <c r="F23" s="19"/>
      <c r="G23" s="19"/>
      <c r="H23" s="19"/>
      <c r="I23" s="19"/>
      <c r="J23" s="19"/>
    </row>
    <row r="24" customFormat="false" ht="15.75" hidden="false" customHeight="true" outlineLevel="0" collapsed="false">
      <c r="A24" s="22" t="s">
        <v>420</v>
      </c>
      <c r="B24" s="15" t="s">
        <v>395</v>
      </c>
      <c r="C24" s="19"/>
      <c r="D24" s="19"/>
      <c r="E24" s="19"/>
      <c r="F24" s="19"/>
      <c r="G24" s="19"/>
      <c r="H24" s="19"/>
      <c r="I24" s="19"/>
      <c r="J24" s="19"/>
    </row>
    <row r="25" customFormat="false" ht="15.75" hidden="false" customHeight="true" outlineLevel="0" collapsed="false">
      <c r="A25" s="22" t="s">
        <v>421</v>
      </c>
      <c r="B25" s="18" t="s">
        <v>422</v>
      </c>
      <c r="C25" s="19"/>
      <c r="D25" s="19"/>
      <c r="E25" s="19"/>
      <c r="F25" s="19"/>
      <c r="G25" s="19"/>
      <c r="H25" s="19"/>
      <c r="I25" s="19"/>
      <c r="J25" s="19"/>
    </row>
    <row r="26" customFormat="false" ht="15.75" hidden="false" customHeight="true" outlineLevel="0" collapsed="false">
      <c r="A26" s="22" t="s">
        <v>423</v>
      </c>
      <c r="B26" s="15" t="s">
        <v>424</v>
      </c>
      <c r="C26" s="19"/>
      <c r="D26" s="19"/>
      <c r="E26" s="19"/>
      <c r="F26" s="19"/>
      <c r="G26" s="19"/>
      <c r="H26" s="19"/>
      <c r="I26" s="19"/>
      <c r="J26" s="19"/>
    </row>
    <row r="27" customFormat="false" ht="15.75" hidden="false" customHeight="true" outlineLevel="0" collapsed="false">
      <c r="A27" s="22" t="s">
        <v>425</v>
      </c>
      <c r="B27" s="18" t="s">
        <v>426</v>
      </c>
      <c r="C27" s="19"/>
      <c r="D27" s="19"/>
      <c r="E27" s="19"/>
      <c r="F27" s="19"/>
      <c r="G27" s="19"/>
      <c r="H27" s="19"/>
      <c r="I27" s="19"/>
      <c r="J27" s="19"/>
    </row>
    <row r="28" customFormat="false" ht="4.5" hidden="false" customHeight="true" outlineLevel="0" collapsed="false"/>
    <row r="29" customFormat="false" ht="21.75" hidden="false" customHeight="true" outlineLevel="0" collapsed="false">
      <c r="A29" s="5" t="s">
        <v>427</v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8" hidden="false" customHeight="true" outlineLevel="0" collapsed="false">
      <c r="A30" s="11" t="s">
        <v>353</v>
      </c>
      <c r="B30" s="11" t="s">
        <v>354</v>
      </c>
      <c r="C30" s="11" t="s">
        <v>355</v>
      </c>
      <c r="D30" s="11" t="s">
        <v>356</v>
      </c>
      <c r="E30" s="11" t="s">
        <v>357</v>
      </c>
      <c r="F30" s="11" t="s">
        <v>358</v>
      </c>
      <c r="G30" s="11" t="s">
        <v>428</v>
      </c>
      <c r="H30" s="11" t="s">
        <v>429</v>
      </c>
    </row>
    <row r="31" customFormat="false" ht="15.75" hidden="false" customHeight="true" outlineLevel="0" collapsed="false">
      <c r="A31" s="22" t="s">
        <v>430</v>
      </c>
      <c r="B31" s="15"/>
      <c r="C31" s="15"/>
      <c r="D31" s="15"/>
      <c r="E31" s="15"/>
      <c r="F31" s="15" t="str">
        <f aca="false">IF(SUM(B31:E31)=0,"",SUM(B31:E31))</f>
        <v/>
      </c>
      <c r="G31" s="15"/>
      <c r="H31" s="15"/>
    </row>
    <row r="32" customFormat="false" ht="15.75" hidden="false" customHeight="true" outlineLevel="0" collapsed="false">
      <c r="A32" s="22" t="s">
        <v>361</v>
      </c>
      <c r="B32" s="18"/>
      <c r="C32" s="18"/>
      <c r="D32" s="18"/>
      <c r="E32" s="18"/>
      <c r="F32" s="18" t="str">
        <f aca="false">IF(SUM(B32:E32)=0,"",SUM(B32:E32))</f>
        <v/>
      </c>
      <c r="G32" s="18"/>
      <c r="H32" s="18"/>
    </row>
    <row r="33" customFormat="false" ht="15.75" hidden="false" customHeight="true" outlineLevel="0" collapsed="false">
      <c r="A33" s="22" t="s">
        <v>431</v>
      </c>
      <c r="B33" s="15"/>
      <c r="C33" s="15"/>
      <c r="D33" s="15"/>
      <c r="E33" s="15"/>
      <c r="F33" s="15" t="str">
        <f aca="false">IF(SUM(B33:E33)=0,"",SUM(B33:E33))</f>
        <v/>
      </c>
      <c r="G33" s="15"/>
      <c r="H33" s="15"/>
    </row>
    <row r="34" customFormat="false" ht="15.75" hidden="false" customHeight="true" outlineLevel="0" collapsed="false">
      <c r="A34" s="22" t="s">
        <v>432</v>
      </c>
      <c r="B34" s="18"/>
      <c r="C34" s="18"/>
      <c r="D34" s="18"/>
      <c r="E34" s="18"/>
      <c r="F34" s="18" t="str">
        <f aca="false">IF(SUM(B34:E34)=0,"",SUM(B34:E34))</f>
        <v/>
      </c>
      <c r="G34" s="18"/>
      <c r="H34" s="18"/>
    </row>
    <row r="35" customFormat="false" ht="4.5" hidden="false" customHeight="true" outlineLevel="0" collapsed="false"/>
    <row r="36" customFormat="false" ht="18" hidden="false" customHeight="true" outlineLevel="0" collapsed="false">
      <c r="A36" s="9" t="s">
        <v>53</v>
      </c>
      <c r="B36" s="9"/>
      <c r="C36" s="9"/>
      <c r="D36" s="9"/>
      <c r="E36" s="9"/>
      <c r="F36" s="9"/>
      <c r="G36" s="9"/>
      <c r="H36" s="9"/>
      <c r="I36" s="9"/>
      <c r="J36" s="9"/>
    </row>
  </sheetData>
  <mergeCells count="8">
    <mergeCell ref="A1:E1"/>
    <mergeCell ref="F1:J1"/>
    <mergeCell ref="A2:J2"/>
    <mergeCell ref="A3:J3"/>
    <mergeCell ref="A5:J5"/>
    <mergeCell ref="A16:J16"/>
    <mergeCell ref="A29:J29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12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27.75" hidden="false" customHeight="true" outlineLevel="0" collapsed="false">
      <c r="A3" s="25" t="s">
        <v>433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customFormat="false" ht="15.75" hidden="false" customHeight="true" outlineLevel="0" collapsed="false">
      <c r="A4" s="4" t="s">
        <v>434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4.5" hidden="false" customHeight="true" outlineLevel="0" collapsed="false"/>
    <row r="6" customFormat="false" ht="21.75" hidden="false" customHeight="true" outlineLevel="0" collapsed="false">
      <c r="A6" s="5" t="s">
        <v>435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18" hidden="false" customHeight="true" outlineLevel="0" collapsed="false">
      <c r="A7" s="11" t="s">
        <v>278</v>
      </c>
      <c r="B7" s="11" t="s">
        <v>436</v>
      </c>
      <c r="C7" s="11" t="s">
        <v>74</v>
      </c>
      <c r="D7" s="11" t="s">
        <v>437</v>
      </c>
      <c r="E7" s="11" t="s">
        <v>158</v>
      </c>
      <c r="F7" s="11" t="s">
        <v>159</v>
      </c>
      <c r="G7" s="11" t="s">
        <v>160</v>
      </c>
      <c r="H7" s="11" t="s">
        <v>438</v>
      </c>
      <c r="I7" s="11" t="s">
        <v>439</v>
      </c>
      <c r="J7" s="11" t="s">
        <v>440</v>
      </c>
      <c r="K7" s="11" t="s">
        <v>375</v>
      </c>
    </row>
    <row r="8" customFormat="false" ht="15.75" hidden="false" customHeight="true" outlineLevel="0" collapsed="false">
      <c r="A8" s="22" t="s">
        <v>285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.75" hidden="false" customHeight="true" outlineLevel="0" collapsed="false">
      <c r="A9" s="22" t="s">
        <v>286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customFormat="false" ht="15.75" hidden="false" customHeight="true" outlineLevel="0" collapsed="false">
      <c r="A10" s="22" t="s">
        <v>287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customFormat="false" ht="15.75" hidden="false" customHeight="true" outlineLevel="0" collapsed="false">
      <c r="A11" s="22" t="s">
        <v>288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6.5" hidden="false" customHeight="true" outlineLevel="0" collapsed="false">
      <c r="A12" s="23" t="s">
        <v>441</v>
      </c>
      <c r="D12" s="24" t="n">
        <f aca="false">SUM(D8:D11)</f>
        <v>0</v>
      </c>
      <c r="E12" s="24" t="n">
        <f aca="false">SUM(E8:E11)</f>
        <v>0</v>
      </c>
      <c r="F12" s="24" t="n">
        <f aca="false">SUM(F8:F11)</f>
        <v>0</v>
      </c>
      <c r="G12" s="24" t="n">
        <f aca="false">SUM(G8:G11)</f>
        <v>0</v>
      </c>
      <c r="H12" s="24" t="n">
        <f aca="false">SUM(H8:H11)</f>
        <v>0</v>
      </c>
      <c r="I12" s="24" t="n">
        <f aca="false">SUM(I8:I11)</f>
        <v>0</v>
      </c>
      <c r="J12" s="24" t="n">
        <f aca="false">SUM(J8:J11)</f>
        <v>0</v>
      </c>
    </row>
    <row r="13" customFormat="false" ht="4.5" hidden="false" customHeight="true" outlineLevel="0" collapsed="false"/>
    <row r="14" customFormat="false" ht="21.75" hidden="false" customHeight="true" outlineLevel="0" collapsed="false">
      <c r="A14" s="5" t="s">
        <v>442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5.7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customFormat="false" ht="15.7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customFormat="false" ht="15.7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customFormat="false" ht="15.7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customFormat="false" ht="15.7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customFormat="false" ht="15.75" hidden="false" customHeight="tru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customFormat="false" ht="15.7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customFormat="false" ht="15.75" hidden="false" customHeight="tru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customFormat="false" ht="4.5" hidden="false" customHeight="true" outlineLevel="0" collapsed="false"/>
    <row r="24" customFormat="false" ht="21.75" hidden="false" customHeight="true" outlineLevel="0" collapsed="false">
      <c r="A24" s="5" t="s">
        <v>443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.7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customFormat="false" ht="15.75" hidden="false" customHeight="tru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customFormat="false" ht="15.7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customFormat="false" ht="15.75" hidden="false" customHeight="tru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customFormat="false" ht="15.7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customFormat="false" ht="15.7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customFormat="false" ht="4.5" hidden="false" customHeight="true" outlineLevel="0" collapsed="false"/>
    <row r="32" customFormat="false" ht="21.75" hidden="false" customHeight="true" outlineLevel="0" collapsed="false">
      <c r="A32" s="5" t="s">
        <v>444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8" hidden="false" customHeight="true" outlineLevel="0" collapsed="false">
      <c r="A33" s="11" t="s">
        <v>445</v>
      </c>
      <c r="B33" s="11" t="s">
        <v>446</v>
      </c>
      <c r="C33" s="11" t="s">
        <v>447</v>
      </c>
      <c r="D33" s="11" t="s">
        <v>448</v>
      </c>
      <c r="E33" s="11" t="s">
        <v>449</v>
      </c>
      <c r="F33" s="11" t="s">
        <v>374</v>
      </c>
    </row>
    <row r="34" customFormat="false" ht="15" hidden="false" customHeight="true" outlineLevel="0" collapsed="false">
      <c r="A34" s="13"/>
      <c r="B34" s="15"/>
      <c r="C34" s="15"/>
      <c r="D34" s="15"/>
      <c r="E34" s="13"/>
      <c r="F34" s="15"/>
    </row>
    <row r="35" customFormat="false" ht="15" hidden="false" customHeight="true" outlineLevel="0" collapsed="false">
      <c r="A35" s="17"/>
      <c r="B35" s="18"/>
      <c r="C35" s="18"/>
      <c r="D35" s="18"/>
      <c r="E35" s="17"/>
      <c r="F35" s="18"/>
    </row>
    <row r="36" customFormat="false" ht="15" hidden="false" customHeight="true" outlineLevel="0" collapsed="false">
      <c r="A36" s="13"/>
      <c r="B36" s="15"/>
      <c r="C36" s="15"/>
      <c r="D36" s="15"/>
      <c r="E36" s="13"/>
      <c r="F36" s="15"/>
    </row>
    <row r="37" customFormat="false" ht="15" hidden="false" customHeight="true" outlineLevel="0" collapsed="false">
      <c r="A37" s="17"/>
      <c r="B37" s="18"/>
      <c r="C37" s="18"/>
      <c r="D37" s="18"/>
      <c r="E37" s="17"/>
      <c r="F37" s="18"/>
    </row>
    <row r="38" customFormat="false" ht="15" hidden="false" customHeight="true" outlineLevel="0" collapsed="false">
      <c r="A38" s="13"/>
      <c r="B38" s="15"/>
      <c r="C38" s="15"/>
      <c r="D38" s="15"/>
      <c r="E38" s="13"/>
      <c r="F38" s="15"/>
    </row>
    <row r="39" customFormat="false" ht="15" hidden="false" customHeight="true" outlineLevel="0" collapsed="false">
      <c r="A39" s="17"/>
      <c r="B39" s="18"/>
      <c r="C39" s="18"/>
      <c r="D39" s="18"/>
      <c r="E39" s="17"/>
      <c r="F39" s="18"/>
    </row>
    <row r="40" customFormat="false" ht="15" hidden="false" customHeight="true" outlineLevel="0" collapsed="false">
      <c r="A40" s="13"/>
      <c r="B40" s="15"/>
      <c r="C40" s="15"/>
      <c r="D40" s="15"/>
      <c r="E40" s="13"/>
      <c r="F40" s="15"/>
    </row>
    <row r="41" customFormat="false" ht="15" hidden="false" customHeight="true" outlineLevel="0" collapsed="false">
      <c r="A41" s="17"/>
      <c r="B41" s="18"/>
      <c r="C41" s="18"/>
      <c r="D41" s="18"/>
      <c r="E41" s="17"/>
      <c r="F41" s="18"/>
    </row>
    <row r="42" customFormat="false" ht="4.5" hidden="false" customHeight="true" outlineLevel="0" collapsed="false"/>
    <row r="43" customFormat="false" ht="21.75" hidden="false" customHeight="true" outlineLevel="0" collapsed="false">
      <c r="A43" s="5" t="s">
        <v>450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19.5" hidden="false" customHeight="true" outlineLevel="0" collapsed="false">
      <c r="A44" s="7" t="s">
        <v>451</v>
      </c>
      <c r="B44" s="7"/>
      <c r="C44" s="7"/>
      <c r="D44" s="7" t="s">
        <v>452</v>
      </c>
      <c r="E44" s="7"/>
      <c r="F44" s="7"/>
      <c r="G44" s="7" t="s">
        <v>48</v>
      </c>
      <c r="H44" s="7"/>
      <c r="I44" s="7"/>
      <c r="J44" s="7" t="s">
        <v>453</v>
      </c>
      <c r="K44" s="7"/>
      <c r="L44" s="7"/>
    </row>
    <row r="45" customFormat="false" ht="19.5" hidden="false" customHeight="true" outlineLevel="0" collapsed="false">
      <c r="A45" s="7" t="s">
        <v>454</v>
      </c>
      <c r="B45" s="7"/>
      <c r="C45" s="7"/>
      <c r="D45" s="7" t="s">
        <v>455</v>
      </c>
      <c r="E45" s="7"/>
      <c r="F45" s="7"/>
      <c r="G45" s="7" t="s">
        <v>456</v>
      </c>
      <c r="H45" s="7"/>
      <c r="I45" s="7"/>
      <c r="J45" s="7" t="s">
        <v>457</v>
      </c>
      <c r="K45" s="7"/>
      <c r="L45" s="7"/>
    </row>
    <row r="46" customFormat="false" ht="19.5" hidden="false" customHeight="true" outlineLevel="0" collapsed="false">
      <c r="A46" s="7" t="s">
        <v>458</v>
      </c>
      <c r="B46" s="7"/>
      <c r="C46" s="7"/>
      <c r="D46" s="7" t="s">
        <v>452</v>
      </c>
      <c r="E46" s="7"/>
      <c r="F46" s="7"/>
      <c r="G46" s="7" t="s">
        <v>48</v>
      </c>
      <c r="H46" s="7"/>
      <c r="I46" s="7"/>
      <c r="J46" s="7" t="s">
        <v>453</v>
      </c>
      <c r="K46" s="7"/>
      <c r="L46" s="7"/>
    </row>
    <row r="47" customFormat="false" ht="19.5" hidden="false" customHeight="true" outlineLevel="0" collapsed="false">
      <c r="A47" s="7" t="s">
        <v>459</v>
      </c>
      <c r="B47" s="7"/>
      <c r="C47" s="7"/>
      <c r="D47" s="7" t="s">
        <v>460</v>
      </c>
      <c r="E47" s="7"/>
      <c r="F47" s="7"/>
      <c r="G47" s="7" t="s">
        <v>461</v>
      </c>
      <c r="H47" s="7"/>
      <c r="I47" s="7"/>
      <c r="J47" s="7" t="s">
        <v>462</v>
      </c>
      <c r="K47" s="7"/>
      <c r="L47" s="7"/>
    </row>
    <row r="48" customFormat="false" ht="4.5" hidden="false" customHeight="true" outlineLevel="0" collapsed="false"/>
    <row r="49" customFormat="false" ht="18" hidden="false" customHeight="true" outlineLevel="0" collapsed="false">
      <c r="A49" s="9" t="s">
        <v>53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</sheetData>
  <mergeCells count="40">
    <mergeCell ref="A1:F1"/>
    <mergeCell ref="G1:L1"/>
    <mergeCell ref="A3:L3"/>
    <mergeCell ref="A4:L4"/>
    <mergeCell ref="A6:L6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4:L24"/>
    <mergeCell ref="A25:L25"/>
    <mergeCell ref="A26:L26"/>
    <mergeCell ref="A27:L27"/>
    <mergeCell ref="A28:L28"/>
    <mergeCell ref="A29:L29"/>
    <mergeCell ref="A30:L30"/>
    <mergeCell ref="A32:L32"/>
    <mergeCell ref="A43:L43"/>
    <mergeCell ref="A44:C44"/>
    <mergeCell ref="D44:F44"/>
    <mergeCell ref="G44:I44"/>
    <mergeCell ref="J44:L44"/>
    <mergeCell ref="A45:C45"/>
    <mergeCell ref="D45:F45"/>
    <mergeCell ref="G45:I45"/>
    <mergeCell ref="J45:L45"/>
    <mergeCell ref="A46:C46"/>
    <mergeCell ref="D46:F46"/>
    <mergeCell ref="G46:I46"/>
    <mergeCell ref="J46:L46"/>
    <mergeCell ref="A47:C47"/>
    <mergeCell ref="D47:F47"/>
    <mergeCell ref="G47:I47"/>
    <mergeCell ref="J47:L47"/>
    <mergeCell ref="A49:L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2026-03-20T13:19:13Z</dcterms:created>
  <dc:creator>openpyxl</dc:creator>
  <dc:description/>
  <dc:language>en-US</dc:language>
  <cp:lastModifiedBy/>
  <dcterms:modified xsi:type="dcterms:W3CDTF">2026-03-20T13:19:13Z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