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Info &amp; Cover" sheetId="1" state="visible" r:id="rId1"/>
    <sheet xmlns:r="http://schemas.openxmlformats.org/officeDocument/2006/relationships" name="Air System Fan Performance" sheetId="2" state="visible" r:id="rId2"/>
    <sheet xmlns:r="http://schemas.openxmlformats.org/officeDocument/2006/relationships" name="Terminal Unit Airflow Schedule" sheetId="3" state="visible" r:id="rId3"/>
    <sheet xmlns:r="http://schemas.openxmlformats.org/officeDocument/2006/relationships" name="Hydronic System TAB" sheetId="4" state="visible" r:id="rId4"/>
    <sheet xmlns:r="http://schemas.openxmlformats.org/officeDocument/2006/relationships" name="Equipment Performance" sheetId="5" state="visible" r:id="rId5"/>
    <sheet xmlns:r="http://schemas.openxmlformats.org/officeDocument/2006/relationships" name="Deviations &amp; Certification" sheetId="6" state="visible" r:id="rId6"/>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8"/>
    </font>
    <font>
      <name val="Arial"/>
      <b val="1"/>
      <color rgb="00E07B00"/>
      <sz val="10"/>
    </font>
    <font>
      <name val="Arial"/>
      <color rgb="00D6E4F0"/>
      <sz val="9"/>
    </font>
    <font>
      <name val="Arial"/>
      <b val="1"/>
      <color rgb="001B3A6B"/>
      <sz val="22"/>
    </font>
    <font>
      <name val="Arial"/>
      <i val="1"/>
      <color rgb="002E6DA4"/>
      <sz val="10"/>
    </font>
    <font>
      <name val="Arial"/>
      <b val="1"/>
      <color rgb="00FFFFFF"/>
      <sz val="12"/>
    </font>
    <font>
      <name val="Arial"/>
      <b val="1"/>
      <color rgb="001B3A6B"/>
      <sz val="10"/>
    </font>
    <font>
      <name val="Arial"/>
      <color rgb="00000000"/>
      <sz val="10"/>
    </font>
    <font>
      <name val="Arial"/>
      <b val="1"/>
      <color rgb="00FFFFFF"/>
      <sz val="9"/>
    </font>
    <font>
      <name val="Arial"/>
      <color rgb="00000000"/>
      <sz val="9"/>
    </font>
    <font>
      <name val="Arial"/>
      <b val="1"/>
      <color rgb="001B3A6B"/>
      <sz val="9"/>
    </font>
    <font>
      <name val="Arial"/>
      <color rgb="00000000"/>
      <sz val="8"/>
    </font>
    <font>
      <name val="Arial"/>
      <color rgb="00FFFFFF"/>
      <sz val="9"/>
    </font>
    <font>
      <name val="Arial"/>
      <b val="1"/>
      <color rgb="00000000"/>
      <sz val="9"/>
    </font>
    <font>
      <name val="Arial"/>
      <b val="1"/>
      <color rgb="00FFFFFF"/>
      <sz val="10"/>
    </font>
    <font>
      <name val="Arial"/>
      <b val="1"/>
      <color rgb="00FFFFFF"/>
      <sz val="8"/>
    </font>
    <font>
      <name val="Arial"/>
      <b val="1"/>
      <color rgb="00000000"/>
      <sz val="10"/>
    </font>
    <font>
      <name val="Arial"/>
      <b val="1"/>
      <color rgb="002E6DA4"/>
      <sz val="9"/>
    </font>
    <font>
      <name val="Arial"/>
      <i val="1"/>
      <color rgb="00555555"/>
      <sz val="9"/>
    </font>
    <font>
      <name val="Arial"/>
      <b val="1"/>
      <color rgb="001B3A6B"/>
      <sz val="12"/>
    </font>
  </fonts>
  <fills count="8">
    <fill>
      <patternFill/>
    </fill>
    <fill>
      <patternFill patternType="gray125"/>
    </fill>
    <fill>
      <patternFill patternType="solid">
        <fgColor rgb="001B3A6B"/>
      </patternFill>
    </fill>
    <fill>
      <patternFill patternType="solid">
        <fgColor rgb="00E07B00"/>
      </patternFill>
    </fill>
    <fill>
      <patternFill patternType="solid">
        <fgColor rgb="00D6E4F0"/>
      </patternFill>
    </fill>
    <fill>
      <patternFill patternType="solid">
        <fgColor rgb="00FFFFFF"/>
      </patternFill>
    </fill>
    <fill>
      <patternFill patternType="solid">
        <fgColor rgb="00F4F6F8"/>
      </patternFill>
    </fill>
    <fill>
      <patternFill patternType="solid">
        <fgColor rgb="002E6DA4"/>
      </patternFill>
    </fill>
  </fills>
  <borders count="3">
    <border>
      <left/>
      <right/>
      <top/>
      <bottom/>
      <diagonal/>
    </border>
    <border>
      <left style="thin">
        <color rgb="00CCCCCC"/>
      </left>
      <right style="thin">
        <color rgb="00CCCCCC"/>
      </right>
      <top style="medium">
        <color rgb="001B3A6B"/>
      </top>
      <bottom style="medium">
        <color rgb="001B3A6B"/>
      </bottom>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right" vertical="center" wrapText="1"/>
    </xf>
    <xf numFmtId="0" fontId="0" fillId="3" borderId="0" pivotButton="0" quotePrefix="0" xfId="0"/>
    <xf numFmtId="0" fontId="3" fillId="2" borderId="0"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2" applyAlignment="1" pivotButton="0" quotePrefix="0" xfId="0">
      <alignment horizontal="center" vertical="center" wrapText="1"/>
    </xf>
    <xf numFmtId="0" fontId="6" fillId="2" borderId="0" applyAlignment="1" pivotButton="0" quotePrefix="0" xfId="0">
      <alignment horizontal="left" vertical="center" wrapText="1"/>
    </xf>
    <xf numFmtId="0" fontId="0" fillId="2" borderId="0" pivotButton="0" quotePrefix="0" xfId="0"/>
    <xf numFmtId="0" fontId="7" fillId="5" borderId="2" applyAlignment="1" pivotButton="0" quotePrefix="0" xfId="0">
      <alignment horizontal="left" vertical="center" wrapText="1"/>
    </xf>
    <xf numFmtId="0" fontId="8" fillId="5" borderId="2" applyAlignment="1" pivotButton="0" quotePrefix="0" xfId="0">
      <alignment horizontal="left" vertical="center" wrapText="1"/>
    </xf>
    <xf numFmtId="0" fontId="7" fillId="6" borderId="2" applyAlignment="1" pivotButton="0" quotePrefix="0" xfId="0">
      <alignment horizontal="left" vertical="center" wrapText="1"/>
    </xf>
    <xf numFmtId="0" fontId="8" fillId="6" borderId="2" applyAlignment="1" pivotButton="0" quotePrefix="0" xfId="0">
      <alignment horizontal="left" vertical="center" wrapText="1"/>
    </xf>
    <xf numFmtId="0" fontId="9" fillId="7" borderId="2" applyAlignment="1" pivotButton="0" quotePrefix="0" xfId="0">
      <alignment horizontal="center" vertical="center" wrapText="1"/>
    </xf>
    <xf numFmtId="0" fontId="11" fillId="6" borderId="2" applyAlignment="1" pivotButton="0" quotePrefix="0" xfId="0">
      <alignment horizontal="left" vertical="center" wrapText="1"/>
    </xf>
    <xf numFmtId="0" fontId="10" fillId="6" borderId="2" applyAlignment="1" pivotButton="0" quotePrefix="0" xfId="0">
      <alignment horizontal="center" vertical="center" wrapText="1"/>
    </xf>
    <xf numFmtId="0" fontId="11" fillId="5" borderId="2" applyAlignment="1" pivotButton="0" quotePrefix="0" xfId="0">
      <alignment horizontal="left" vertical="center" wrapText="1"/>
    </xf>
    <xf numFmtId="0" fontId="10" fillId="5" borderId="2" applyAlignment="1" pivotButton="0" quotePrefix="0" xfId="0">
      <alignment horizontal="center" vertical="center" wrapText="1"/>
    </xf>
    <xf numFmtId="0" fontId="12" fillId="5" borderId="2" applyAlignment="1" pivotButton="0" quotePrefix="0" xfId="0">
      <alignment horizontal="center" vertical="center" wrapText="1"/>
    </xf>
    <xf numFmtId="0" fontId="12" fillId="6" borderId="2" applyAlignment="1" pivotButton="0" quotePrefix="0" xfId="0">
      <alignment horizontal="center" vertical="center" wrapText="1"/>
    </xf>
    <xf numFmtId="0" fontId="7" fillId="4" borderId="2" applyAlignment="1" pivotButton="0" quotePrefix="0" xfId="0">
      <alignment horizontal="left" vertical="center" wrapText="1"/>
    </xf>
    <xf numFmtId="0" fontId="0" fillId="5" borderId="2" pivotButton="0" quotePrefix="0" xfId="0"/>
    <xf numFmtId="0" fontId="13" fillId="2" borderId="0" applyAlignment="1" pivotButton="0" quotePrefix="0" xfId="0">
      <alignment horizontal="center" vertical="center" wrapText="1"/>
    </xf>
    <xf numFmtId="0" fontId="14" fillId="5" borderId="2" applyAlignment="1" pivotButton="0" quotePrefix="0" xfId="0">
      <alignment horizontal="center" vertical="center" wrapText="1"/>
    </xf>
    <xf numFmtId="0" fontId="14" fillId="6" borderId="2" applyAlignment="1" pivotButton="0" quotePrefix="0" xfId="0">
      <alignment horizontal="center" vertical="center" wrapText="1"/>
    </xf>
    <xf numFmtId="0" fontId="15" fillId="7" borderId="0" applyAlignment="1" pivotButton="0" quotePrefix="0" xfId="0">
      <alignment horizontal="left" vertical="center" wrapText="1"/>
    </xf>
    <xf numFmtId="0" fontId="0" fillId="7" borderId="0" pivotButton="0" quotePrefix="0" xfId="0"/>
    <xf numFmtId="0" fontId="16" fillId="7" borderId="2" applyAlignment="1" pivotButton="0" quotePrefix="0" xfId="0">
      <alignment horizontal="center" vertical="center" wrapText="1"/>
    </xf>
    <xf numFmtId="0" fontId="10" fillId="4" borderId="2" applyAlignment="1" pivotButton="0" quotePrefix="0" xfId="0">
      <alignment horizontal="center" vertical="center" wrapText="1"/>
    </xf>
    <xf numFmtId="0" fontId="10" fillId="5" borderId="2" applyAlignment="1" pivotButton="0" quotePrefix="0" xfId="0">
      <alignment horizontal="left" vertical="center" wrapText="1"/>
    </xf>
    <xf numFmtId="0" fontId="10" fillId="6" borderId="2" applyAlignment="1" pivotButton="0" quotePrefix="0" xfId="0">
      <alignment horizontal="left" vertical="center" wrapText="1"/>
    </xf>
    <xf numFmtId="0" fontId="15" fillId="2" borderId="2" applyAlignment="1" pivotButton="0" quotePrefix="0" xfId="0">
      <alignment horizontal="left" vertical="center" wrapText="1"/>
    </xf>
    <xf numFmtId="0" fontId="7" fillId="4" borderId="2" applyAlignment="1" pivotButton="0" quotePrefix="0" xfId="0">
      <alignment horizontal="center" vertical="center" wrapText="1"/>
    </xf>
    <xf numFmtId="0" fontId="17" fillId="4" borderId="2" pivotButton="0" quotePrefix="0" xfId="0"/>
    <xf numFmtId="0" fontId="0" fillId="2" borderId="2" pivotButton="0" quotePrefix="0" xfId="0"/>
    <xf numFmtId="0" fontId="18" fillId="5" borderId="2" applyAlignment="1" pivotButton="0" quotePrefix="0" xfId="0">
      <alignment horizontal="center" vertical="center" wrapText="1"/>
    </xf>
    <xf numFmtId="0" fontId="18" fillId="6" borderId="2" applyAlignment="1" pivotButton="0" quotePrefix="0" xfId="0">
      <alignment horizontal="center" vertical="center" wrapText="1"/>
    </xf>
    <xf numFmtId="0" fontId="19" fillId="6" borderId="2" applyAlignment="1" pivotButton="0" quotePrefix="0" xfId="0">
      <alignment horizontal="left" vertical="center" wrapText="1"/>
    </xf>
    <xf numFmtId="0" fontId="0" fillId="5" borderId="2" applyAlignment="1" pivotButton="0" quotePrefix="0" xfId="0">
      <alignment horizontal="left" vertical="center" wrapText="1"/>
    </xf>
    <xf numFmtId="0" fontId="20" fillId="4"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84"/>
  <sheetViews>
    <sheetView showGridLines="0" workbookViewId="0">
      <selection activeCell="A1" sqref="A1"/>
    </sheetView>
  </sheetViews>
  <sheetFormatPr baseColWidth="8" defaultRowHeight="15"/>
  <cols>
    <col width="3" customWidth="1" min="1" max="1"/>
    <col width="26" customWidth="1" min="2" max="2"/>
    <col width="14" customWidth="1" min="3" max="3"/>
    <col width="14" customWidth="1" min="4" max="4"/>
    <col width="14" customWidth="1" min="5" max="5"/>
    <col width="14" customWidth="1" min="6" max="6"/>
    <col width="16" customWidth="1" min="7" max="7"/>
    <col width="18" customWidth="1" min="8" max="8"/>
  </cols>
  <sheetData>
    <row r="1" ht="30" customHeight="1">
      <c r="A1" s="1" t="inlineStr">
        <is>
          <t>Your HVAC Co.</t>
        </is>
      </c>
      <c r="F1" s="2" t="inlineStr">
        <is>
          <t>TEST &amp; BALANCE REPORT</t>
        </is>
      </c>
    </row>
    <row r="2" ht="6" customHeight="1">
      <c r="A2" s="3" t="n"/>
    </row>
    <row r="3" ht="16" customHeight="1">
      <c r="A3" s="4" t="inlineStr">
        <is>
          <t>HVAC Test &amp; Balance Report  •  Rogers, AR  •  (555) 867-5309  •  www.yourhvac.com  •  NEBB / AABC Certified TAB Agency</t>
        </is>
      </c>
    </row>
    <row r="4" ht="6" customHeight="1"/>
    <row r="5" ht="10" customHeight="1"/>
    <row r="6" ht="36" customHeight="1">
      <c r="A6" s="5" t="inlineStr">
        <is>
          <t>HVAC TEST &amp; BALANCE REPORT</t>
        </is>
      </c>
    </row>
    <row r="7" ht="20" customHeight="1">
      <c r="A7" s="6" t="inlineStr">
        <is>
          <t>Prepared in Accordance with NEBB Procedural Standards for Testing, Adjusting &amp; Balancing of Environmental Systems</t>
        </is>
      </c>
    </row>
    <row r="8" ht="6" customHeight="1"/>
    <row r="9" ht="22" customHeight="1">
      <c r="A9" s="7" t="inlineStr">
        <is>
          <t xml:space="preserve">  📋  SECTION 1 — PROJECT IDENTIFICATION</t>
        </is>
      </c>
      <c r="B9" s="8" t="n"/>
      <c r="C9" s="8" t="n"/>
      <c r="D9" s="8" t="n"/>
      <c r="E9" s="8" t="n"/>
      <c r="F9" s="8" t="n"/>
      <c r="G9" s="8" t="n"/>
      <c r="H9" s="8" t="n"/>
    </row>
    <row r="10" ht="18" customHeight="1">
      <c r="A10" s="9" t="inlineStr">
        <is>
          <t>Project Name / Building:</t>
        </is>
      </c>
      <c r="E10" s="10" t="n"/>
    </row>
    <row r="11" ht="18" customHeight="1">
      <c r="A11" s="11" t="inlineStr">
        <is>
          <t>Project Number:</t>
        </is>
      </c>
      <c r="E11" s="12" t="n"/>
    </row>
    <row r="12" ht="18" customHeight="1">
      <c r="A12" s="9" t="inlineStr">
        <is>
          <t>Project Address:</t>
        </is>
      </c>
      <c r="E12" s="10" t="n"/>
    </row>
    <row r="13" ht="18" customHeight="1">
      <c r="A13" s="11" t="inlineStr">
        <is>
          <t>City / State / ZIP:</t>
        </is>
      </c>
      <c r="E13" s="12" t="n"/>
    </row>
    <row r="14" ht="18" customHeight="1">
      <c r="A14" s="9" t="inlineStr">
        <is>
          <t>Building Owner:</t>
        </is>
      </c>
      <c r="E14" s="10" t="n"/>
    </row>
    <row r="15" ht="18" customHeight="1">
      <c r="A15" s="11" t="inlineStr">
        <is>
          <t>Owner Contact / Phone:</t>
        </is>
      </c>
      <c r="E15" s="12" t="n"/>
    </row>
    <row r="16" ht="18" customHeight="1">
      <c r="A16" s="9" t="inlineStr">
        <is>
          <t>General Contractor:</t>
        </is>
      </c>
      <c r="E16" s="10" t="n"/>
    </row>
    <row r="17" ht="18" customHeight="1">
      <c r="A17" s="11" t="inlineStr">
        <is>
          <t>GC Contact / Phone:</t>
        </is>
      </c>
      <c r="E17" s="12" t="n"/>
    </row>
    <row r="18" ht="18" customHeight="1">
      <c r="A18" s="9" t="inlineStr">
        <is>
          <t>Mechanical Contractor:</t>
        </is>
      </c>
      <c r="E18" s="10" t="n"/>
    </row>
    <row r="19" ht="18" customHeight="1">
      <c r="A19" s="11" t="inlineStr">
        <is>
          <t>Mech. Contact / Phone:</t>
        </is>
      </c>
      <c r="E19" s="12" t="n"/>
    </row>
    <row r="20" ht="18" customHeight="1">
      <c r="A20" s="9" t="inlineStr">
        <is>
          <t>Engineer of Record (EOR):</t>
        </is>
      </c>
      <c r="E20" s="10" t="n"/>
    </row>
    <row r="21" ht="18" customHeight="1">
      <c r="A21" s="11" t="inlineStr">
        <is>
          <t>EOR Contact / Phone:</t>
        </is>
      </c>
      <c r="E21" s="12" t="n"/>
    </row>
    <row r="22" ht="18" customHeight="1">
      <c r="A22" s="9" t="inlineStr">
        <is>
          <t>TAB Agency / Firm:</t>
        </is>
      </c>
      <c r="E22" s="10" t="n"/>
    </row>
    <row r="23" ht="18" customHeight="1">
      <c r="A23" s="11" t="inlineStr">
        <is>
          <t>TAB Certification #:</t>
        </is>
      </c>
      <c r="E23" s="12" t="n"/>
    </row>
    <row r="24" ht="18" customHeight="1">
      <c r="A24" s="9" t="inlineStr">
        <is>
          <t>TAB Technician of Record:</t>
        </is>
      </c>
      <c r="E24" s="10" t="n"/>
    </row>
    <row r="25" ht="18" customHeight="1">
      <c r="A25" s="11" t="inlineStr">
        <is>
          <t>TAB Tech Cert # / NEBB #:</t>
        </is>
      </c>
      <c r="E25" s="12" t="n"/>
    </row>
    <row r="26" ht="18" customHeight="1">
      <c r="A26" s="9" t="inlineStr">
        <is>
          <t>Report Prepared By:</t>
        </is>
      </c>
      <c r="E26" s="10" t="n"/>
    </row>
    <row r="27" ht="18" customHeight="1">
      <c r="A27" s="11" t="inlineStr">
        <is>
          <t>Report Date:</t>
        </is>
      </c>
      <c r="E27" s="12" t="n"/>
    </row>
    <row r="28" ht="18" customHeight="1">
      <c r="A28" s="9" t="inlineStr">
        <is>
          <t>Report Revision #:</t>
        </is>
      </c>
      <c r="E28" s="10" t="n"/>
    </row>
    <row r="29" ht="18" customHeight="1">
      <c r="A29" s="11" t="inlineStr">
        <is>
          <t>Report Status (Draft / Final):</t>
        </is>
      </c>
      <c r="E29" s="12" t="n"/>
    </row>
    <row r="30" ht="18" customHeight="1">
      <c r="A30" s="9" t="inlineStr">
        <is>
          <t>Specification Section Referenced:</t>
        </is>
      </c>
      <c r="E30" s="10" t="n"/>
    </row>
    <row r="31" ht="18" customHeight="1">
      <c r="A31" s="11" t="inlineStr">
        <is>
          <t>Applicable Standard (NEBB / AABC / SMACNA):</t>
        </is>
      </c>
      <c r="E31" s="12" t="n"/>
    </row>
    <row r="32" ht="6" customHeight="1"/>
    <row r="33" ht="22" customHeight="1">
      <c r="A33" s="7" t="inlineStr">
        <is>
          <t xml:space="preserve">  🌡️  SECTION 2 — AMBIENT CONDITIONS AT TIME OF TEST</t>
        </is>
      </c>
      <c r="B33" s="8" t="n"/>
      <c r="C33" s="8" t="n"/>
      <c r="D33" s="8" t="n"/>
      <c r="E33" s="8" t="n"/>
      <c r="F33" s="8" t="n"/>
      <c r="G33" s="8" t="n"/>
      <c r="H33" s="8" t="n"/>
    </row>
    <row r="34" ht="16" customHeight="1">
      <c r="A34" s="13" t="inlineStr">
        <is>
          <t>Condition</t>
        </is>
      </c>
      <c r="B34" s="13" t="inlineStr">
        <is>
          <t>Date / Time of Test</t>
        </is>
      </c>
      <c r="C34" s="13" t="inlineStr">
        <is>
          <t>Outdoor DB Temp (°F)</t>
        </is>
      </c>
      <c r="D34" s="13" t="inlineStr">
        <is>
          <t>Outdoor WB Temp (°F)</t>
        </is>
      </c>
      <c r="E34" s="13" t="inlineStr">
        <is>
          <t>Outdoor RH (%)</t>
        </is>
      </c>
      <c r="F34" s="13" t="inlineStr">
        <is>
          <t>Barometric Pressure (in. Hg)</t>
        </is>
      </c>
      <c r="G34" s="13" t="inlineStr">
        <is>
          <t>Building Mode at Test</t>
        </is>
      </c>
      <c r="H34" s="13" t="inlineStr">
        <is>
          <t>Notes</t>
        </is>
      </c>
    </row>
    <row r="35" ht="17" customHeight="1">
      <c r="A35" s="14" t="inlineStr">
        <is>
          <t>Cooling Season Test</t>
        </is>
      </c>
      <c r="B35" s="15" t="n"/>
      <c r="C35" s="15" t="n"/>
      <c r="D35" s="15" t="n"/>
      <c r="E35" s="15" t="n"/>
      <c r="F35" s="15" t="n"/>
      <c r="G35" s="15" t="n"/>
      <c r="H35" s="15" t="n"/>
    </row>
    <row r="36" ht="17" customHeight="1">
      <c r="A36" s="16" t="inlineStr">
        <is>
          <t>Heating Season Test</t>
        </is>
      </c>
      <c r="B36" s="17" t="n"/>
      <c r="C36" s="17" t="n"/>
      <c r="D36" s="17" t="n"/>
      <c r="E36" s="17" t="n"/>
      <c r="F36" s="17" t="n"/>
      <c r="G36" s="17" t="n"/>
      <c r="H36" s="17" t="n"/>
    </row>
    <row r="37" ht="17" customHeight="1">
      <c r="A37" s="14" t="inlineStr">
        <is>
          <t>Intermediate / Spring Test</t>
        </is>
      </c>
      <c r="B37" s="15" t="n"/>
      <c r="C37" s="15" t="n"/>
      <c r="D37" s="15" t="n"/>
      <c r="E37" s="15" t="n"/>
      <c r="F37" s="15" t="n"/>
      <c r="G37" s="15" t="n"/>
      <c r="H37" s="15" t="n"/>
    </row>
    <row r="38" ht="17" customHeight="1">
      <c r="A38" s="16" t="inlineStr">
        <is>
          <t>Additional Test Session</t>
        </is>
      </c>
      <c r="B38" s="17" t="n"/>
      <c r="C38" s="17" t="n"/>
      <c r="D38" s="17" t="n"/>
      <c r="E38" s="17" t="n"/>
      <c r="F38" s="17" t="n"/>
      <c r="G38" s="17" t="n"/>
      <c r="H38" s="17" t="n"/>
    </row>
    <row r="39" ht="6" customHeight="1"/>
    <row r="40" ht="22" customHeight="1">
      <c r="A40" s="7" t="inlineStr">
        <is>
          <t xml:space="preserve">  📐  SECTION 3 — SYSTEMS INCLUDED IN THIS REPORT</t>
        </is>
      </c>
      <c r="B40" s="8" t="n"/>
      <c r="C40" s="8" t="n"/>
      <c r="D40" s="8" t="n"/>
      <c r="E40" s="8" t="n"/>
      <c r="F40" s="8" t="n"/>
      <c r="G40" s="8" t="n"/>
      <c r="H40" s="8" t="n"/>
    </row>
    <row r="41" ht="16" customHeight="1">
      <c r="A41" s="13" t="inlineStr">
        <is>
          <t>System Tag / ID</t>
        </is>
      </c>
      <c r="B41" s="13" t="inlineStr">
        <is>
          <t>System Description</t>
        </is>
      </c>
      <c r="C41" s="13" t="inlineStr">
        <is>
          <t>Served Area / Zones</t>
        </is>
      </c>
      <c r="D41" s="13" t="inlineStr">
        <is>
          <t>Design CFM / GPM</t>
        </is>
      </c>
      <c r="E41" s="13" t="inlineStr">
        <is>
          <t>Design Static / ΔP</t>
        </is>
      </c>
      <c r="F41" s="13" t="inlineStr">
        <is>
          <t># of Terminals</t>
        </is>
      </c>
      <c r="G41" s="13" t="inlineStr">
        <is>
          <t>TAB Status</t>
        </is>
      </c>
      <c r="H41" s="13" t="inlineStr">
        <is>
          <t>Notes</t>
        </is>
      </c>
    </row>
    <row r="42" ht="17" customHeight="1">
      <c r="A42" s="17" t="n"/>
      <c r="B42" s="17" t="n"/>
      <c r="C42" s="17" t="n"/>
      <c r="D42" s="17" t="n"/>
      <c r="E42" s="17" t="n"/>
      <c r="F42" s="17" t="n"/>
      <c r="G42" s="18" t="inlineStr">
        <is>
          <t>☐ Complete  ☐ Partial  ☐ Pending</t>
        </is>
      </c>
      <c r="H42" s="17" t="n"/>
    </row>
    <row r="43" ht="17" customHeight="1">
      <c r="A43" s="15" t="n"/>
      <c r="B43" s="15" t="n"/>
      <c r="C43" s="15" t="n"/>
      <c r="D43" s="15" t="n"/>
      <c r="E43" s="15" t="n"/>
      <c r="F43" s="15" t="n"/>
      <c r="G43" s="19" t="inlineStr">
        <is>
          <t>☐ Complete  ☐ Partial  ☐ Pending</t>
        </is>
      </c>
      <c r="H43" s="15" t="n"/>
    </row>
    <row r="44" ht="17" customHeight="1">
      <c r="A44" s="17" t="n"/>
      <c r="B44" s="17" t="n"/>
      <c r="C44" s="17" t="n"/>
      <c r="D44" s="17" t="n"/>
      <c r="E44" s="17" t="n"/>
      <c r="F44" s="17" t="n"/>
      <c r="G44" s="18" t="inlineStr">
        <is>
          <t>☐ Complete  ☐ Partial  ☐ Pending</t>
        </is>
      </c>
      <c r="H44" s="17" t="n"/>
    </row>
    <row r="45" ht="17" customHeight="1">
      <c r="A45" s="15" t="n"/>
      <c r="B45" s="15" t="n"/>
      <c r="C45" s="15" t="n"/>
      <c r="D45" s="15" t="n"/>
      <c r="E45" s="15" t="n"/>
      <c r="F45" s="15" t="n"/>
      <c r="G45" s="19" t="inlineStr">
        <is>
          <t>☐ Complete  ☐ Partial  ☐ Pending</t>
        </is>
      </c>
      <c r="H45" s="15" t="n"/>
    </row>
    <row r="46" ht="17" customHeight="1">
      <c r="A46" s="17" t="n"/>
      <c r="B46" s="17" t="n"/>
      <c r="C46" s="17" t="n"/>
      <c r="D46" s="17" t="n"/>
      <c r="E46" s="17" t="n"/>
      <c r="F46" s="17" t="n"/>
      <c r="G46" s="18" t="inlineStr">
        <is>
          <t>☐ Complete  ☐ Partial  ☐ Pending</t>
        </is>
      </c>
      <c r="H46" s="17" t="n"/>
    </row>
    <row r="47" ht="17" customHeight="1">
      <c r="A47" s="15" t="n"/>
      <c r="B47" s="15" t="n"/>
      <c r="C47" s="15" t="n"/>
      <c r="D47" s="15" t="n"/>
      <c r="E47" s="15" t="n"/>
      <c r="F47" s="15" t="n"/>
      <c r="G47" s="19" t="inlineStr">
        <is>
          <t>☐ Complete  ☐ Partial  ☐ Pending</t>
        </is>
      </c>
      <c r="H47" s="15" t="n"/>
    </row>
    <row r="48" ht="17" customHeight="1">
      <c r="A48" s="17" t="n"/>
      <c r="B48" s="17" t="n"/>
      <c r="C48" s="17" t="n"/>
      <c r="D48" s="17" t="n"/>
      <c r="E48" s="17" t="n"/>
      <c r="F48" s="17" t="n"/>
      <c r="G48" s="18" t="inlineStr">
        <is>
          <t>☐ Complete  ☐ Partial  ☐ Pending</t>
        </is>
      </c>
      <c r="H48" s="17" t="n"/>
    </row>
    <row r="49" ht="17" customHeight="1">
      <c r="A49" s="15" t="n"/>
      <c r="B49" s="15" t="n"/>
      <c r="C49" s="15" t="n"/>
      <c r="D49" s="15" t="n"/>
      <c r="E49" s="15" t="n"/>
      <c r="F49" s="15" t="n"/>
      <c r="G49" s="19" t="inlineStr">
        <is>
          <t>☐ Complete  ☐ Partial  ☐ Pending</t>
        </is>
      </c>
      <c r="H49" s="15" t="n"/>
    </row>
    <row r="50" ht="17" customHeight="1">
      <c r="A50" s="17" t="n"/>
      <c r="B50" s="17" t="n"/>
      <c r="C50" s="17" t="n"/>
      <c r="D50" s="17" t="n"/>
      <c r="E50" s="17" t="n"/>
      <c r="F50" s="17" t="n"/>
      <c r="G50" s="18" t="inlineStr">
        <is>
          <t>☐ Complete  ☐ Partial  ☐ Pending</t>
        </is>
      </c>
      <c r="H50" s="17" t="n"/>
    </row>
    <row r="51" ht="17" customHeight="1">
      <c r="A51" s="15" t="n"/>
      <c r="B51" s="15" t="n"/>
      <c r="C51" s="15" t="n"/>
      <c r="D51" s="15" t="n"/>
      <c r="E51" s="15" t="n"/>
      <c r="F51" s="15" t="n"/>
      <c r="G51" s="19" t="inlineStr">
        <is>
          <t>☐ Complete  ☐ Partial  ☐ Pending</t>
        </is>
      </c>
      <c r="H51" s="15" t="n"/>
    </row>
    <row r="52" ht="17" customHeight="1">
      <c r="A52" s="17" t="n"/>
      <c r="B52" s="17" t="n"/>
      <c r="C52" s="17" t="n"/>
      <c r="D52" s="17" t="n"/>
      <c r="E52" s="17" t="n"/>
      <c r="F52" s="17" t="n"/>
      <c r="G52" s="18" t="inlineStr">
        <is>
          <t>☐ Complete  ☐ Partial  ☐ Pending</t>
        </is>
      </c>
      <c r="H52" s="17" t="n"/>
    </row>
    <row r="53" ht="17" customHeight="1">
      <c r="A53" s="15" t="n"/>
      <c r="B53" s="15" t="n"/>
      <c r="C53" s="15" t="n"/>
      <c r="D53" s="15" t="n"/>
      <c r="E53" s="15" t="n"/>
      <c r="F53" s="15" t="n"/>
      <c r="G53" s="19" t="inlineStr">
        <is>
          <t>☐ Complete  ☐ Partial  ☐ Pending</t>
        </is>
      </c>
      <c r="H53" s="15" t="n"/>
    </row>
    <row r="54" ht="17" customHeight="1">
      <c r="A54" s="17" t="n"/>
      <c r="B54" s="17" t="n"/>
      <c r="C54" s="17" t="n"/>
      <c r="D54" s="17" t="n"/>
      <c r="E54" s="17" t="n"/>
      <c r="F54" s="17" t="n"/>
      <c r="G54" s="18" t="inlineStr">
        <is>
          <t>☐ Complete  ☐ Partial  ☐ Pending</t>
        </is>
      </c>
      <c r="H54" s="17" t="n"/>
    </row>
    <row r="55" ht="17" customHeight="1">
      <c r="A55" s="15" t="n"/>
      <c r="B55" s="15" t="n"/>
      <c r="C55" s="15" t="n"/>
      <c r="D55" s="15" t="n"/>
      <c r="E55" s="15" t="n"/>
      <c r="F55" s="15" t="n"/>
      <c r="G55" s="19" t="inlineStr">
        <is>
          <t>☐ Complete  ☐ Partial  ☐ Pending</t>
        </is>
      </c>
      <c r="H55" s="15" t="n"/>
    </row>
    <row r="56" ht="17" customHeight="1">
      <c r="A56" s="17" t="n"/>
      <c r="B56" s="17" t="n"/>
      <c r="C56" s="17" t="n"/>
      <c r="D56" s="17" t="n"/>
      <c r="E56" s="17" t="n"/>
      <c r="F56" s="17" t="n"/>
      <c r="G56" s="18" t="inlineStr">
        <is>
          <t>☐ Complete  ☐ Partial  ☐ Pending</t>
        </is>
      </c>
      <c r="H56" s="17" t="n"/>
    </row>
    <row r="57" ht="17" customHeight="1">
      <c r="A57" s="15" t="n"/>
      <c r="B57" s="15" t="n"/>
      <c r="C57" s="15" t="n"/>
      <c r="D57" s="15" t="n"/>
      <c r="E57" s="15" t="n"/>
      <c r="F57" s="15" t="n"/>
      <c r="G57" s="19" t="inlineStr">
        <is>
          <t>☐ Complete  ☐ Partial  ☐ Pending</t>
        </is>
      </c>
      <c r="H57" s="15" t="n"/>
    </row>
    <row r="58" ht="17" customHeight="1">
      <c r="A58" s="17" t="n"/>
      <c r="B58" s="17" t="n"/>
      <c r="C58" s="17" t="n"/>
      <c r="D58" s="17" t="n"/>
      <c r="E58" s="17" t="n"/>
      <c r="F58" s="17" t="n"/>
      <c r="G58" s="18" t="inlineStr">
        <is>
          <t>☐ Complete  ☐ Partial  ☐ Pending</t>
        </is>
      </c>
      <c r="H58" s="17" t="n"/>
    </row>
    <row r="59" ht="17" customHeight="1">
      <c r="A59" s="15" t="n"/>
      <c r="B59" s="15" t="n"/>
      <c r="C59" s="15" t="n"/>
      <c r="D59" s="15" t="n"/>
      <c r="E59" s="15" t="n"/>
      <c r="F59" s="15" t="n"/>
      <c r="G59" s="19" t="inlineStr">
        <is>
          <t>☐ Complete  ☐ Partial  ☐ Pending</t>
        </is>
      </c>
      <c r="H59" s="15" t="n"/>
    </row>
    <row r="60" ht="17" customHeight="1">
      <c r="A60" s="17" t="n"/>
      <c r="B60" s="17" t="n"/>
      <c r="C60" s="17" t="n"/>
      <c r="D60" s="17" t="n"/>
      <c r="E60" s="17" t="n"/>
      <c r="F60" s="17" t="n"/>
      <c r="G60" s="18" t="inlineStr">
        <is>
          <t>☐ Complete  ☐ Partial  ☐ Pending</t>
        </is>
      </c>
      <c r="H60" s="17" t="n"/>
    </row>
    <row r="61" ht="17" customHeight="1">
      <c r="A61" s="15" t="n"/>
      <c r="B61" s="15" t="n"/>
      <c r="C61" s="15" t="n"/>
      <c r="D61" s="15" t="n"/>
      <c r="E61" s="15" t="n"/>
      <c r="F61" s="15" t="n"/>
      <c r="G61" s="19" t="inlineStr">
        <is>
          <t>☐ Complete  ☐ Partial  ☐ Pending</t>
        </is>
      </c>
      <c r="H61" s="15" t="n"/>
    </row>
    <row r="62" ht="6" customHeight="1"/>
    <row r="63" ht="22" customHeight="1">
      <c r="A63" s="7" t="inlineStr">
        <is>
          <t xml:space="preserve">  📊  SECTION 4 — EXECUTIVE SUMMARY &amp; GENERAL NOTES</t>
        </is>
      </c>
      <c r="B63" s="8" t="n"/>
      <c r="C63" s="8" t="n"/>
      <c r="D63" s="8" t="n"/>
      <c r="E63" s="8" t="n"/>
      <c r="F63" s="8" t="n"/>
      <c r="G63" s="8" t="n"/>
      <c r="H63" s="8" t="n"/>
    </row>
    <row r="64" ht="15" customHeight="1">
      <c r="A64" s="20" t="inlineStr">
        <is>
          <t>TAB Scope Summary:</t>
        </is>
      </c>
    </row>
    <row r="65" ht="18" customHeight="1">
      <c r="A65" s="21" t="n"/>
    </row>
    <row r="66" ht="18" customHeight="1">
      <c r="A66" s="21" t="n"/>
    </row>
    <row r="67" ht="18" customHeight="1">
      <c r="A67" s="21" t="n"/>
    </row>
    <row r="68" ht="18" customHeight="1">
      <c r="A68" s="21" t="n"/>
    </row>
    <row r="69" ht="15" customHeight="1">
      <c r="A69" s="20" t="inlineStr">
        <is>
          <t>Deviations from Design / Specification:</t>
        </is>
      </c>
    </row>
    <row r="70" ht="18" customHeight="1">
      <c r="A70" s="21" t="n"/>
    </row>
    <row r="71" ht="18" customHeight="1">
      <c r="A71" s="21" t="n"/>
    </row>
    <row r="72" ht="18" customHeight="1">
      <c r="A72" s="21" t="n"/>
    </row>
    <row r="73" ht="18" customHeight="1">
      <c r="A73" s="21" t="n"/>
    </row>
    <row r="74" ht="15" customHeight="1">
      <c r="A74" s="20" t="inlineStr">
        <is>
          <t>Outstanding Items / Retest Required:</t>
        </is>
      </c>
    </row>
    <row r="75" ht="18" customHeight="1">
      <c r="A75" s="21" t="n"/>
    </row>
    <row r="76" ht="18" customHeight="1">
      <c r="A76" s="21" t="n"/>
    </row>
    <row r="77" ht="18" customHeight="1">
      <c r="A77" s="21" t="n"/>
    </row>
    <row r="78" ht="15" customHeight="1">
      <c r="A78" s="20" t="inlineStr">
        <is>
          <t>General Notes &amp; Observations:</t>
        </is>
      </c>
    </row>
    <row r="79" ht="18" customHeight="1">
      <c r="A79" s="21" t="n"/>
    </row>
    <row r="80" ht="18" customHeight="1">
      <c r="A80" s="21" t="n"/>
    </row>
    <row r="81" ht="18" customHeight="1">
      <c r="A81" s="21" t="n"/>
    </row>
    <row r="82" ht="6" customHeight="1"/>
    <row r="83" ht="6" customHeight="1">
      <c r="A83" s="3" t="n"/>
    </row>
    <row r="84" ht="18" customHeight="1">
      <c r="A84" s="22" t="inlineStr">
        <is>
          <t>Your HVAC Co.  •  HVAC Test &amp; Balance Report  •  Rogers, AR  •  (555) 867-5309  •  www.yourhvac.com  •  NEBB / AABC Certified</t>
        </is>
      </c>
    </row>
  </sheetData>
  <mergeCells count="74">
    <mergeCell ref="A9:H9"/>
    <mergeCell ref="A67:H67"/>
    <mergeCell ref="A17:D17"/>
    <mergeCell ref="A23:D23"/>
    <mergeCell ref="E26:H26"/>
    <mergeCell ref="A77:H77"/>
    <mergeCell ref="A83:H83"/>
    <mergeCell ref="A22:D22"/>
    <mergeCell ref="A73:H73"/>
    <mergeCell ref="A20:D20"/>
    <mergeCell ref="A64:H64"/>
    <mergeCell ref="E16:H16"/>
    <mergeCell ref="A29:D29"/>
    <mergeCell ref="A1:E1"/>
    <mergeCell ref="E25:H25"/>
    <mergeCell ref="A19:D19"/>
    <mergeCell ref="A10:D10"/>
    <mergeCell ref="A28:D28"/>
    <mergeCell ref="A79:H79"/>
    <mergeCell ref="A13:D13"/>
    <mergeCell ref="A6:H6"/>
    <mergeCell ref="E22:H22"/>
    <mergeCell ref="A70:H70"/>
    <mergeCell ref="A78:H78"/>
    <mergeCell ref="E18:H18"/>
    <mergeCell ref="A31:D31"/>
    <mergeCell ref="A69:H69"/>
    <mergeCell ref="A7:H7"/>
    <mergeCell ref="A65:H65"/>
    <mergeCell ref="E12:H12"/>
    <mergeCell ref="A30:D30"/>
    <mergeCell ref="E21:H21"/>
    <mergeCell ref="A15:D15"/>
    <mergeCell ref="A66:H66"/>
    <mergeCell ref="A24:D24"/>
    <mergeCell ref="A11:D11"/>
    <mergeCell ref="A75:H75"/>
    <mergeCell ref="A80:H80"/>
    <mergeCell ref="A84:H84"/>
    <mergeCell ref="E24:H24"/>
    <mergeCell ref="A74:H74"/>
    <mergeCell ref="E14:H14"/>
    <mergeCell ref="A3:H3"/>
    <mergeCell ref="E17:H17"/>
    <mergeCell ref="E23:H23"/>
    <mergeCell ref="A2:H2"/>
    <mergeCell ref="F1:H1"/>
    <mergeCell ref="A71:H71"/>
    <mergeCell ref="E20:H20"/>
    <mergeCell ref="A76:H76"/>
    <mergeCell ref="A25:D25"/>
    <mergeCell ref="E29:H29"/>
    <mergeCell ref="A33:H33"/>
    <mergeCell ref="A16:D16"/>
    <mergeCell ref="E19:H19"/>
    <mergeCell ref="E10:H10"/>
    <mergeCell ref="E28:H28"/>
    <mergeCell ref="E13:H13"/>
    <mergeCell ref="A18:D18"/>
    <mergeCell ref="A27:D27"/>
    <mergeCell ref="E31:H31"/>
    <mergeCell ref="A12:D12"/>
    <mergeCell ref="A81:H81"/>
    <mergeCell ref="A26:D26"/>
    <mergeCell ref="A21:D21"/>
    <mergeCell ref="A63:H63"/>
    <mergeCell ref="E30:H30"/>
    <mergeCell ref="A72:H72"/>
    <mergeCell ref="E15:H15"/>
    <mergeCell ref="A68:H68"/>
    <mergeCell ref="E11:H11"/>
    <mergeCell ref="E27:H27"/>
    <mergeCell ref="A14:D14"/>
    <mergeCell ref="A40:H40"/>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H110"/>
  <sheetViews>
    <sheetView showGridLines="0" workbookViewId="0">
      <selection activeCell="A1" sqref="A1"/>
    </sheetView>
  </sheetViews>
  <sheetFormatPr baseColWidth="8" defaultRowHeight="15"/>
  <cols>
    <col width="5" customWidth="1" min="1" max="1"/>
    <col width="20" customWidth="1" min="2" max="2"/>
    <col width="13" customWidth="1" min="3" max="3"/>
    <col width="13" customWidth="1" min="4" max="4"/>
    <col width="13" customWidth="1" min="5" max="5"/>
    <col width="13" customWidth="1" min="6" max="6"/>
    <col width="13" customWidth="1" min="7" max="7"/>
    <col width="13" customWidth="1" min="8" max="8"/>
  </cols>
  <sheetData>
    <row r="1" ht="30" customHeight="1">
      <c r="A1" s="1" t="inlineStr">
        <is>
          <t>Your HVAC Co.</t>
        </is>
      </c>
      <c r="F1" s="2" t="inlineStr">
        <is>
          <t>AIR SYSTEM FAN PERFORMANCE</t>
        </is>
      </c>
    </row>
    <row r="2" ht="6" customHeight="1">
      <c r="A2" s="3" t="n"/>
    </row>
    <row r="3" ht="16" customHeight="1">
      <c r="A3" s="4" t="inlineStr">
        <is>
          <t>HVAC Test &amp; Balance Report  •  Rogers, AR  •  (555) 867-5309  •  www.yourhvac.com  •  NEBB / AABC Certified TAB Agency</t>
        </is>
      </c>
    </row>
    <row r="4" ht="6" customHeight="1"/>
    <row r="5" ht="22" customHeight="1">
      <c r="A5" s="7" t="inlineStr">
        <is>
          <t xml:space="preserve">  💨  SECTION 5 — FAN SYSTEM PERFORMANCE SUMMARY</t>
        </is>
      </c>
      <c r="B5" s="8" t="n"/>
      <c r="C5" s="8" t="n"/>
      <c r="D5" s="8" t="n"/>
      <c r="E5" s="8" t="n"/>
      <c r="F5" s="8" t="n"/>
      <c r="G5" s="8" t="n"/>
      <c r="H5" s="8" t="n"/>
    </row>
    <row r="6" ht="16" customHeight="1">
      <c r="A6" s="13" t="inlineStr">
        <is>
          <t>System Tag</t>
        </is>
      </c>
      <c r="B6" s="13" t="inlineStr">
        <is>
          <t>Fan / Unit Description</t>
        </is>
      </c>
      <c r="C6" s="13" t="inlineStr">
        <is>
          <t>Design CFM</t>
        </is>
      </c>
      <c r="D6" s="13" t="inlineStr">
        <is>
          <t>Actual CFM</t>
        </is>
      </c>
      <c r="E6" s="13" t="inlineStr">
        <is>
          <t>% Dev.</t>
        </is>
      </c>
      <c r="F6" s="13" t="inlineStr">
        <is>
          <t>Design SP (in.wc)</t>
        </is>
      </c>
      <c r="G6" s="13" t="inlineStr">
        <is>
          <t>Actual SP (in.wc)</t>
        </is>
      </c>
      <c r="H6" s="13" t="inlineStr">
        <is>
          <t>Status</t>
        </is>
      </c>
    </row>
    <row r="7" ht="17" customHeight="1">
      <c r="A7" s="17" t="n"/>
      <c r="B7" s="17" t="n"/>
      <c r="C7" s="17" t="n"/>
      <c r="D7" s="17" t="n"/>
      <c r="E7" s="17">
        <f>IF(AND(C7&lt;&gt;"",D7&lt;&gt;"",C7&lt;&gt;0),ROUND((D7-C7)/C7*100,1),"")</f>
        <v/>
      </c>
      <c r="F7" s="17" t="n"/>
      <c r="G7" s="17" t="n"/>
      <c r="H7" s="23">
        <f>IF(E7="","",IF(ABS(E7)&lt;=10,"✔ Accept","✘ Reject"))</f>
        <v/>
      </c>
    </row>
    <row r="8" ht="17" customHeight="1">
      <c r="A8" s="15" t="n"/>
      <c r="B8" s="15" t="n"/>
      <c r="C8" s="15" t="n"/>
      <c r="D8" s="15" t="n"/>
      <c r="E8" s="15">
        <f>IF(AND(C8&lt;&gt;"",D8&lt;&gt;"",C8&lt;&gt;0),ROUND((D8-C8)/C8*100,1),"")</f>
        <v/>
      </c>
      <c r="F8" s="15" t="n"/>
      <c r="G8" s="15" t="n"/>
      <c r="H8" s="24">
        <f>IF(E8="","",IF(ABS(E8)&lt;=10,"✔ Accept","✘ Reject"))</f>
        <v/>
      </c>
    </row>
    <row r="9" ht="17" customHeight="1">
      <c r="A9" s="17" t="n"/>
      <c r="B9" s="17" t="n"/>
      <c r="C9" s="17" t="n"/>
      <c r="D9" s="17" t="n"/>
      <c r="E9" s="17">
        <f>IF(AND(C9&lt;&gt;"",D9&lt;&gt;"",C9&lt;&gt;0),ROUND((D9-C9)/C9*100,1),"")</f>
        <v/>
      </c>
      <c r="F9" s="17" t="n"/>
      <c r="G9" s="17" t="n"/>
      <c r="H9" s="23">
        <f>IF(E9="","",IF(ABS(E9)&lt;=10,"✔ Accept","✘ Reject"))</f>
        <v/>
      </c>
    </row>
    <row r="10" ht="17" customHeight="1">
      <c r="A10" s="15" t="n"/>
      <c r="B10" s="15" t="n"/>
      <c r="C10" s="15" t="n"/>
      <c r="D10" s="15" t="n"/>
      <c r="E10" s="15">
        <f>IF(AND(C10&lt;&gt;"",D10&lt;&gt;"",C10&lt;&gt;0),ROUND((D10-C10)/C10*100,1),"")</f>
        <v/>
      </c>
      <c r="F10" s="15" t="n"/>
      <c r="G10" s="15" t="n"/>
      <c r="H10" s="24">
        <f>IF(E10="","",IF(ABS(E10)&lt;=10,"✔ Accept","✘ Reject"))</f>
        <v/>
      </c>
    </row>
    <row r="11" ht="17" customHeight="1">
      <c r="A11" s="17" t="n"/>
      <c r="B11" s="17" t="n"/>
      <c r="C11" s="17" t="n"/>
      <c r="D11" s="17" t="n"/>
      <c r="E11" s="17">
        <f>IF(AND(C11&lt;&gt;"",D11&lt;&gt;"",C11&lt;&gt;0),ROUND((D11-C11)/C11*100,1),"")</f>
        <v/>
      </c>
      <c r="F11" s="17" t="n"/>
      <c r="G11" s="17" t="n"/>
      <c r="H11" s="23">
        <f>IF(E11="","",IF(ABS(E11)&lt;=10,"✔ Accept","✘ Reject"))</f>
        <v/>
      </c>
    </row>
    <row r="12" ht="17" customHeight="1">
      <c r="A12" s="15" t="n"/>
      <c r="B12" s="15" t="n"/>
      <c r="C12" s="15" t="n"/>
      <c r="D12" s="15" t="n"/>
      <c r="E12" s="15">
        <f>IF(AND(C12&lt;&gt;"",D12&lt;&gt;"",C12&lt;&gt;0),ROUND((D12-C12)/C12*100,1),"")</f>
        <v/>
      </c>
      <c r="F12" s="15" t="n"/>
      <c r="G12" s="15" t="n"/>
      <c r="H12" s="24">
        <f>IF(E12="","",IF(ABS(E12)&lt;=10,"✔ Accept","✘ Reject"))</f>
        <v/>
      </c>
    </row>
    <row r="13" ht="17" customHeight="1">
      <c r="A13" s="17" t="n"/>
      <c r="B13" s="17" t="n"/>
      <c r="C13" s="17" t="n"/>
      <c r="D13" s="17" t="n"/>
      <c r="E13" s="17">
        <f>IF(AND(C13&lt;&gt;"",D13&lt;&gt;"",C13&lt;&gt;0),ROUND((D13-C13)/C13*100,1),"")</f>
        <v/>
      </c>
      <c r="F13" s="17" t="n"/>
      <c r="G13" s="17" t="n"/>
      <c r="H13" s="23">
        <f>IF(E13="","",IF(ABS(E13)&lt;=10,"✔ Accept","✘ Reject"))</f>
        <v/>
      </c>
    </row>
    <row r="14" ht="17" customHeight="1">
      <c r="A14" s="15" t="n"/>
      <c r="B14" s="15" t="n"/>
      <c r="C14" s="15" t="n"/>
      <c r="D14" s="15" t="n"/>
      <c r="E14" s="15">
        <f>IF(AND(C14&lt;&gt;"",D14&lt;&gt;"",C14&lt;&gt;0),ROUND((D14-C14)/C14*100,1),"")</f>
        <v/>
      </c>
      <c r="F14" s="15" t="n"/>
      <c r="G14" s="15" t="n"/>
      <c r="H14" s="24">
        <f>IF(E14="","",IF(ABS(E14)&lt;=10,"✔ Accept","✘ Reject"))</f>
        <v/>
      </c>
    </row>
    <row r="15" ht="17" customHeight="1">
      <c r="A15" s="17" t="n"/>
      <c r="B15" s="17" t="n"/>
      <c r="C15" s="17" t="n"/>
      <c r="D15" s="17" t="n"/>
      <c r="E15" s="17">
        <f>IF(AND(C15&lt;&gt;"",D15&lt;&gt;"",C15&lt;&gt;0),ROUND((D15-C15)/C15*100,1),"")</f>
        <v/>
      </c>
      <c r="F15" s="17" t="n"/>
      <c r="G15" s="17" t="n"/>
      <c r="H15" s="23">
        <f>IF(E15="","",IF(ABS(E15)&lt;=10,"✔ Accept","✘ Reject"))</f>
        <v/>
      </c>
    </row>
    <row r="16" ht="17" customHeight="1">
      <c r="A16" s="15" t="n"/>
      <c r="B16" s="15" t="n"/>
      <c r="C16" s="15" t="n"/>
      <c r="D16" s="15" t="n"/>
      <c r="E16" s="15">
        <f>IF(AND(C16&lt;&gt;"",D16&lt;&gt;"",C16&lt;&gt;0),ROUND((D16-C16)/C16*100,1),"")</f>
        <v/>
      </c>
      <c r="F16" s="15" t="n"/>
      <c r="G16" s="15" t="n"/>
      <c r="H16" s="24">
        <f>IF(E16="","",IF(ABS(E16)&lt;=10,"✔ Accept","✘ Reject"))</f>
        <v/>
      </c>
    </row>
    <row r="17" ht="17" customHeight="1">
      <c r="A17" s="17" t="n"/>
      <c r="B17" s="17" t="n"/>
      <c r="C17" s="17" t="n"/>
      <c r="D17" s="17" t="n"/>
      <c r="E17" s="17">
        <f>IF(AND(C17&lt;&gt;"",D17&lt;&gt;"",C17&lt;&gt;0),ROUND((D17-C17)/C17*100,1),"")</f>
        <v/>
      </c>
      <c r="F17" s="17" t="n"/>
      <c r="G17" s="17" t="n"/>
      <c r="H17" s="23">
        <f>IF(E17="","",IF(ABS(E17)&lt;=10,"✔ Accept","✘ Reject"))</f>
        <v/>
      </c>
    </row>
    <row r="18" ht="17" customHeight="1">
      <c r="A18" s="15" t="n"/>
      <c r="B18" s="15" t="n"/>
      <c r="C18" s="15" t="n"/>
      <c r="D18" s="15" t="n"/>
      <c r="E18" s="15">
        <f>IF(AND(C18&lt;&gt;"",D18&lt;&gt;"",C18&lt;&gt;0),ROUND((D18-C18)/C18*100,1),"")</f>
        <v/>
      </c>
      <c r="F18" s="15" t="n"/>
      <c r="G18" s="15" t="n"/>
      <c r="H18" s="24">
        <f>IF(E18="","",IF(ABS(E18)&lt;=10,"✔ Accept","✘ Reject"))</f>
        <v/>
      </c>
    </row>
    <row r="19" ht="17" customHeight="1">
      <c r="A19" s="17" t="n"/>
      <c r="B19" s="17" t="n"/>
      <c r="C19" s="17" t="n"/>
      <c r="D19" s="17" t="n"/>
      <c r="E19" s="17">
        <f>IF(AND(C19&lt;&gt;"",D19&lt;&gt;"",C19&lt;&gt;0),ROUND((D19-C19)/C19*100,1),"")</f>
        <v/>
      </c>
      <c r="F19" s="17" t="n"/>
      <c r="G19" s="17" t="n"/>
      <c r="H19" s="23">
        <f>IF(E19="","",IF(ABS(E19)&lt;=10,"✔ Accept","✘ Reject"))</f>
        <v/>
      </c>
    </row>
    <row r="20" ht="17" customHeight="1">
      <c r="A20" s="15" t="n"/>
      <c r="B20" s="15" t="n"/>
      <c r="C20" s="15" t="n"/>
      <c r="D20" s="15" t="n"/>
      <c r="E20" s="15">
        <f>IF(AND(C20&lt;&gt;"",D20&lt;&gt;"",C20&lt;&gt;0),ROUND((D20-C20)/C20*100,1),"")</f>
        <v/>
      </c>
      <c r="F20" s="15" t="n"/>
      <c r="G20" s="15" t="n"/>
      <c r="H20" s="24">
        <f>IF(E20="","",IF(ABS(E20)&lt;=10,"✔ Accept","✘ Reject"))</f>
        <v/>
      </c>
    </row>
    <row r="21" ht="17" customHeight="1">
      <c r="A21" s="17" t="n"/>
      <c r="B21" s="17" t="n"/>
      <c r="C21" s="17" t="n"/>
      <c r="D21" s="17" t="n"/>
      <c r="E21" s="17">
        <f>IF(AND(C21&lt;&gt;"",D21&lt;&gt;"",C21&lt;&gt;0),ROUND((D21-C21)/C21*100,1),"")</f>
        <v/>
      </c>
      <c r="F21" s="17" t="n"/>
      <c r="G21" s="17" t="n"/>
      <c r="H21" s="23">
        <f>IF(E21="","",IF(ABS(E21)&lt;=10,"✔ Accept","✘ Reject"))</f>
        <v/>
      </c>
    </row>
    <row r="22" ht="17" customHeight="1">
      <c r="A22" s="15" t="n"/>
      <c r="B22" s="15" t="n"/>
      <c r="C22" s="15" t="n"/>
      <c r="D22" s="15" t="n"/>
      <c r="E22" s="15">
        <f>IF(AND(C22&lt;&gt;"",D22&lt;&gt;"",C22&lt;&gt;0),ROUND((D22-C22)/C22*100,1),"")</f>
        <v/>
      </c>
      <c r="F22" s="15" t="n"/>
      <c r="G22" s="15" t="n"/>
      <c r="H22" s="24">
        <f>IF(E22="","",IF(ABS(E22)&lt;=10,"✔ Accept","✘ Reject"))</f>
        <v/>
      </c>
    </row>
    <row r="23" ht="6" customHeight="1"/>
    <row r="24" ht="22" customHeight="1">
      <c r="A24" s="7" t="inlineStr">
        <is>
          <t xml:space="preserve">  🔧  SECTION 6 — DETAILED FAN DATA (COMPLETE ONE TABLE PER FAN / AHU / RTU)</t>
        </is>
      </c>
      <c r="B24" s="8" t="n"/>
      <c r="C24" s="8" t="n"/>
      <c r="D24" s="8" t="n"/>
      <c r="E24" s="8" t="n"/>
      <c r="F24" s="8" t="n"/>
      <c r="G24" s="8" t="n"/>
      <c r="H24" s="8" t="n"/>
    </row>
    <row r="25" ht="16" customHeight="1">
      <c r="A25" s="25" t="inlineStr">
        <is>
          <t xml:space="preserve">  Fan / AHU System:  AHU-1</t>
        </is>
      </c>
      <c r="B25" s="26" t="n"/>
      <c r="C25" s="26" t="n"/>
      <c r="D25" s="26" t="n"/>
      <c r="E25" s="26" t="n"/>
      <c r="F25" s="26" t="n"/>
      <c r="G25" s="26" t="n"/>
      <c r="H25" s="26" t="n"/>
    </row>
    <row r="26" ht="14" customHeight="1">
      <c r="A26" s="27" t="inlineStr">
        <is>
          <t>Parameter</t>
        </is>
      </c>
      <c r="B26" s="27" t="inlineStr">
        <is>
          <t>Design Value</t>
        </is>
      </c>
      <c r="C26" s="27" t="inlineStr">
        <is>
          <t>Actual Value</t>
        </is>
      </c>
      <c r="D26" s="27" t="inlineStr">
        <is>
          <t>Unit</t>
        </is>
      </c>
      <c r="E26" s="27" t="inlineStr">
        <is>
          <t>% Dev.</t>
        </is>
      </c>
      <c r="F26" s="27" t="inlineStr">
        <is>
          <t>Tolerance</t>
        </is>
      </c>
      <c r="G26" s="27" t="inlineStr">
        <is>
          <t>Status</t>
        </is>
      </c>
      <c r="H26" s="27" t="inlineStr">
        <is>
          <t>Notes</t>
        </is>
      </c>
    </row>
    <row r="27" ht="16" customHeight="1">
      <c r="A27" s="14" t="inlineStr">
        <is>
          <t>Total Supply CFM</t>
        </is>
      </c>
      <c r="B27" s="15" t="inlineStr"/>
      <c r="C27" s="28" t="inlineStr"/>
      <c r="D27" s="15" t="inlineStr">
        <is>
          <t>CFM</t>
        </is>
      </c>
      <c r="E27" s="15">
        <f>IF(AND(B27&lt;&gt;"",C27&lt;&gt;"",B27&lt;&gt;0),ROUND((C27-B27)/B27*100,1),"")</f>
        <v/>
      </c>
      <c r="F27" s="15" t="inlineStr">
        <is>
          <t>±10%</t>
        </is>
      </c>
      <c r="G27" s="24">
        <f>IF(E27="","",IF(ABS(E27)&lt;=10,"✔ Accept","✘ Reject"))</f>
        <v/>
      </c>
      <c r="H27" s="15" t="inlineStr"/>
    </row>
    <row r="28" ht="16" customHeight="1">
      <c r="A28" s="16" t="inlineStr">
        <is>
          <t>Total Return / Exhaust CFM</t>
        </is>
      </c>
      <c r="B28" s="17" t="inlineStr"/>
      <c r="C28" s="28" t="inlineStr"/>
      <c r="D28" s="17" t="inlineStr">
        <is>
          <t>CFM</t>
        </is>
      </c>
      <c r="E28" s="17">
        <f>IF(AND(B28&lt;&gt;"",C28&lt;&gt;"",B28&lt;&gt;0),ROUND((C28-B28)/B28*100,1),"")</f>
        <v/>
      </c>
      <c r="F28" s="17" t="inlineStr">
        <is>
          <t>±10%</t>
        </is>
      </c>
      <c r="G28" s="23">
        <f>IF(E28="","",IF(ABS(E28)&lt;=10,"✔ Accept","✘ Reject"))</f>
        <v/>
      </c>
      <c r="H28" s="17" t="inlineStr"/>
    </row>
    <row r="29" ht="16" customHeight="1">
      <c r="A29" s="14" t="inlineStr">
        <is>
          <t>Outdoor Air CFM (measured)</t>
        </is>
      </c>
      <c r="B29" s="15" t="inlineStr"/>
      <c r="C29" s="28" t="inlineStr"/>
      <c r="D29" s="15" t="inlineStr">
        <is>
          <t>CFM</t>
        </is>
      </c>
      <c r="E29" s="15">
        <f>IF(AND(B29&lt;&gt;"",C29&lt;&gt;"",B29&lt;&gt;0),ROUND((C29-B29)/B29*100,1),"")</f>
        <v/>
      </c>
      <c r="F29" s="15" t="inlineStr">
        <is>
          <t>±10%</t>
        </is>
      </c>
      <c r="G29" s="24">
        <f>IF(E29="","",IF(ABS(E29)&lt;=10,"✔ Accept","✘ Reject"))</f>
        <v/>
      </c>
      <c r="H29" s="15" t="inlineStr"/>
    </row>
    <row r="30" ht="16" customHeight="1">
      <c r="A30" s="16" t="inlineStr">
        <is>
          <t>Supply Static Pressure (total)</t>
        </is>
      </c>
      <c r="B30" s="17" t="inlineStr"/>
      <c r="C30" s="28" t="inlineStr"/>
      <c r="D30" s="17" t="inlineStr">
        <is>
          <t>in. w.c.</t>
        </is>
      </c>
      <c r="E30" s="17">
        <f>IF(AND(B30&lt;&gt;"",C30&lt;&gt;"",B30&lt;&gt;0),ROUND((C30-B30)/B30*100,1),"")</f>
        <v/>
      </c>
      <c r="F30" s="17" t="inlineStr">
        <is>
          <t>±10%</t>
        </is>
      </c>
      <c r="G30" s="23">
        <f>IF(E30="","",IF(ABS(E30)&lt;=10,"✔ Accept","✘ Reject"))</f>
        <v/>
      </c>
      <c r="H30" s="17" t="inlineStr"/>
    </row>
    <row r="31" ht="16" customHeight="1">
      <c r="A31" s="14" t="inlineStr">
        <is>
          <t>Return Static Pressure</t>
        </is>
      </c>
      <c r="B31" s="15" t="inlineStr"/>
      <c r="C31" s="28" t="inlineStr"/>
      <c r="D31" s="15" t="inlineStr">
        <is>
          <t>in. w.c.</t>
        </is>
      </c>
      <c r="E31" s="15">
        <f>IF(AND(B31&lt;&gt;"",C31&lt;&gt;"",B31&lt;&gt;0),ROUND((C31-B31)/B31*100,1),"")</f>
        <v/>
      </c>
      <c r="F31" s="15" t="inlineStr">
        <is>
          <t>±10%</t>
        </is>
      </c>
      <c r="G31" s="24">
        <f>IF(E31="","",IF(ABS(E31)&lt;=10,"✔ Accept","✘ Reject"))</f>
        <v/>
      </c>
      <c r="H31" s="15" t="inlineStr"/>
    </row>
    <row r="32" ht="16" customHeight="1">
      <c r="A32" s="16" t="inlineStr">
        <is>
          <t>External Static Pressure</t>
        </is>
      </c>
      <c r="B32" s="17" t="inlineStr"/>
      <c r="C32" s="28" t="inlineStr"/>
      <c r="D32" s="17" t="inlineStr">
        <is>
          <t>in. w.c.</t>
        </is>
      </c>
      <c r="E32" s="17">
        <f>IF(AND(B32&lt;&gt;"",C32&lt;&gt;"",B32&lt;&gt;0),ROUND((C32-B32)/B32*100,1),"")</f>
        <v/>
      </c>
      <c r="F32" s="17" t="inlineStr">
        <is>
          <t>±10%</t>
        </is>
      </c>
      <c r="G32" s="23">
        <f>IF(E32="","",IF(ABS(E32)&lt;=10,"✔ Accept","✘ Reject"))</f>
        <v/>
      </c>
      <c r="H32" s="17" t="inlineStr"/>
    </row>
    <row r="33" ht="16" customHeight="1">
      <c r="A33" s="14" t="inlineStr">
        <is>
          <t>Fan RPM (measured)</t>
        </is>
      </c>
      <c r="B33" s="15" t="inlineStr"/>
      <c r="C33" s="28" t="inlineStr"/>
      <c r="D33" s="15" t="inlineStr">
        <is>
          <t>RPM</t>
        </is>
      </c>
      <c r="E33" s="15">
        <f>IF(AND(B33&lt;&gt;"",C33&lt;&gt;"",B33&lt;&gt;0),ROUND((C33-B33)/B33*100,1),"")</f>
        <v/>
      </c>
      <c r="F33" s="15" t="inlineStr">
        <is>
          <t>±5%</t>
        </is>
      </c>
      <c r="G33" s="24">
        <f>IF(E33="","",IF(ABS(E33)&lt;=10,"✔ Accept","✘ Reject"))</f>
        <v/>
      </c>
      <c r="H33" s="15" t="inlineStr"/>
    </row>
    <row r="34" ht="16" customHeight="1">
      <c r="A34" s="16" t="inlineStr">
        <is>
          <t>Motor Full Load Amps (FLA nameplate)</t>
        </is>
      </c>
      <c r="B34" s="17" t="inlineStr"/>
      <c r="C34" s="28" t="inlineStr"/>
      <c r="D34" s="17" t="inlineStr">
        <is>
          <t>Amps</t>
        </is>
      </c>
      <c r="E34" s="17">
        <f>IF(AND(B34&lt;&gt;"",C34&lt;&gt;"",B34&lt;&gt;0),ROUND((C34-B34)/B34*100,1),"")</f>
        <v/>
      </c>
      <c r="F34" s="17" t="inlineStr">
        <is>
          <t>≤ nameplate</t>
        </is>
      </c>
      <c r="G34" s="23">
        <f>IF(E34="","",IF(ABS(E34)&lt;=10,"✔ Accept","✘ Reject"))</f>
        <v/>
      </c>
      <c r="H34" s="17" t="inlineStr"/>
    </row>
    <row r="35" ht="16" customHeight="1">
      <c r="A35" s="14" t="inlineStr">
        <is>
          <t>Motor Running Amps (actual)</t>
        </is>
      </c>
      <c r="B35" s="15" t="inlineStr"/>
      <c r="C35" s="28" t="inlineStr"/>
      <c r="D35" s="15" t="inlineStr">
        <is>
          <t>Amps</t>
        </is>
      </c>
      <c r="E35" s="15">
        <f>IF(AND(B35&lt;&gt;"",C35&lt;&gt;"",B35&lt;&gt;0),ROUND((C35-B35)/B35*100,1),"")</f>
        <v/>
      </c>
      <c r="F35" s="15" t="inlineStr">
        <is>
          <t>≤ nameplate FLA</t>
        </is>
      </c>
      <c r="G35" s="24">
        <f>IF(E35="","",IF(ABS(E35)&lt;=10,"✔ Accept","✘ Reject"))</f>
        <v/>
      </c>
      <c r="H35" s="15" t="inlineStr"/>
    </row>
    <row r="36" ht="16" customHeight="1">
      <c r="A36" s="16" t="inlineStr">
        <is>
          <t>Motor Voltage (L1-L2)</t>
        </is>
      </c>
      <c r="B36" s="17" t="inlineStr"/>
      <c r="C36" s="28" t="inlineStr"/>
      <c r="D36" s="17" t="inlineStr">
        <is>
          <t>VAC</t>
        </is>
      </c>
      <c r="E36" s="17">
        <f>IF(AND(B36&lt;&gt;"",C36&lt;&gt;"",B36&lt;&gt;0),ROUND((C36-B36)/B36*100,1),"")</f>
        <v/>
      </c>
      <c r="F36" s="17" t="inlineStr">
        <is>
          <t>±10% nameplate</t>
        </is>
      </c>
      <c r="G36" s="23">
        <f>IF(E36="","",IF(ABS(E36)&lt;=10,"✔ Accept","✘ Reject"))</f>
        <v/>
      </c>
      <c r="H36" s="17" t="inlineStr"/>
    </row>
    <row r="37" ht="16" customHeight="1">
      <c r="A37" s="14" t="inlineStr">
        <is>
          <t>Motor Voltage (L1-L3)</t>
        </is>
      </c>
      <c r="B37" s="15" t="inlineStr"/>
      <c r="C37" s="28" t="inlineStr"/>
      <c r="D37" s="15" t="inlineStr">
        <is>
          <t>VAC</t>
        </is>
      </c>
      <c r="E37" s="15" t="inlineStr"/>
      <c r="F37" s="15" t="inlineStr">
        <is>
          <t>±10% nameplate</t>
        </is>
      </c>
      <c r="G37" s="15" t="inlineStr"/>
      <c r="H37" s="15" t="inlineStr"/>
    </row>
    <row r="38" ht="16" customHeight="1">
      <c r="A38" s="16" t="inlineStr">
        <is>
          <t>Motor Voltage (L2-L3)</t>
        </is>
      </c>
      <c r="B38" s="17" t="inlineStr"/>
      <c r="C38" s="28" t="inlineStr"/>
      <c r="D38" s="17" t="inlineStr">
        <is>
          <t>VAC</t>
        </is>
      </c>
      <c r="E38" s="17" t="inlineStr"/>
      <c r="F38" s="17" t="inlineStr">
        <is>
          <t>±10% nameplate</t>
        </is>
      </c>
      <c r="G38" s="17" t="inlineStr"/>
      <c r="H38" s="17" t="inlineStr"/>
    </row>
    <row r="39" ht="16" customHeight="1">
      <c r="A39" s="14" t="inlineStr">
        <is>
          <t>Belt Drive Sheave Sizes (motor / fan)</t>
        </is>
      </c>
      <c r="B39" s="15" t="inlineStr"/>
      <c r="C39" s="28" t="inlineStr"/>
      <c r="D39" s="15" t="inlineStr">
        <is>
          <t>in.</t>
        </is>
      </c>
      <c r="E39" s="15" t="inlineStr"/>
      <c r="F39" s="15" t="inlineStr">
        <is>
          <t>Per design</t>
        </is>
      </c>
      <c r="G39" s="15" t="inlineStr"/>
      <c r="H39" s="15" t="inlineStr"/>
    </row>
    <row r="40" ht="16" customHeight="1">
      <c r="A40" s="16" t="inlineStr">
        <is>
          <t>VFD Output Frequency (if applicable)</t>
        </is>
      </c>
      <c r="B40" s="17" t="inlineStr"/>
      <c r="C40" s="28" t="inlineStr"/>
      <c r="D40" s="17" t="inlineStr">
        <is>
          <t>Hz</t>
        </is>
      </c>
      <c r="E40" s="17" t="inlineStr"/>
      <c r="F40" s="17" t="inlineStr">
        <is>
          <t>Per BAS cmd</t>
        </is>
      </c>
      <c r="G40" s="17" t="inlineStr"/>
      <c r="H40" s="17" t="inlineStr"/>
    </row>
    <row r="41" ht="16" customHeight="1">
      <c r="A41" s="14" t="inlineStr">
        <is>
          <t>Supply Air Temp (cooling mode)</t>
        </is>
      </c>
      <c r="B41" s="15" t="inlineStr"/>
      <c r="C41" s="28" t="inlineStr"/>
      <c r="D41" s="15" t="inlineStr">
        <is>
          <t>°F</t>
        </is>
      </c>
      <c r="E41" s="15" t="inlineStr"/>
      <c r="F41" s="15" t="inlineStr">
        <is>
          <t>Per design</t>
        </is>
      </c>
      <c r="G41" s="15" t="inlineStr"/>
      <c r="H41" s="15" t="inlineStr"/>
    </row>
    <row r="42" ht="16" customHeight="1">
      <c r="A42" s="16" t="inlineStr">
        <is>
          <t>Return Air Temp</t>
        </is>
      </c>
      <c r="B42" s="17" t="inlineStr"/>
      <c r="C42" s="28" t="inlineStr"/>
      <c r="D42" s="17" t="inlineStr">
        <is>
          <t>°F</t>
        </is>
      </c>
      <c r="E42" s="17" t="inlineStr"/>
      <c r="F42" s="17" t="inlineStr">
        <is>
          <t>Per design</t>
        </is>
      </c>
      <c r="G42" s="17" t="inlineStr"/>
      <c r="H42" s="17" t="inlineStr"/>
    </row>
    <row r="43" ht="16" customHeight="1">
      <c r="A43" s="14" t="inlineStr">
        <is>
          <t>Mixed Air Temp</t>
        </is>
      </c>
      <c r="B43" s="15" t="inlineStr"/>
      <c r="C43" s="28" t="inlineStr"/>
      <c r="D43" s="15" t="inlineStr">
        <is>
          <t>°F</t>
        </is>
      </c>
      <c r="E43" s="15" t="inlineStr"/>
      <c r="F43" s="15" t="inlineStr">
        <is>
          <t>Per design</t>
        </is>
      </c>
      <c r="G43" s="15" t="inlineStr"/>
      <c r="H43" s="15" t="inlineStr"/>
    </row>
    <row r="44" ht="16" customHeight="1">
      <c r="A44" s="16" t="inlineStr">
        <is>
          <t>Coil Delta-T (cooling)</t>
        </is>
      </c>
      <c r="B44" s="17" t="inlineStr"/>
      <c r="C44" s="28" t="inlineStr"/>
      <c r="D44" s="17" t="inlineStr">
        <is>
          <t>°F</t>
        </is>
      </c>
      <c r="E44" s="17" t="inlineStr"/>
      <c r="F44" s="17" t="inlineStr">
        <is>
          <t>Per design</t>
        </is>
      </c>
      <c r="G44" s="17" t="inlineStr"/>
      <c r="H44" s="17" t="inlineStr"/>
    </row>
    <row r="45" ht="6" customHeight="1"/>
    <row r="46" ht="16" customHeight="1">
      <c r="A46" s="25" t="inlineStr">
        <is>
          <t xml:space="preserve">  Fan / AHU System:  AHU-2</t>
        </is>
      </c>
      <c r="B46" s="26" t="n"/>
      <c r="C46" s="26" t="n"/>
      <c r="D46" s="26" t="n"/>
      <c r="E46" s="26" t="n"/>
      <c r="F46" s="26" t="n"/>
      <c r="G46" s="26" t="n"/>
      <c r="H46" s="26" t="n"/>
    </row>
    <row r="47" ht="14" customHeight="1">
      <c r="A47" s="27" t="inlineStr">
        <is>
          <t>Parameter</t>
        </is>
      </c>
      <c r="B47" s="27" t="inlineStr">
        <is>
          <t>Design Value</t>
        </is>
      </c>
      <c r="C47" s="27" t="inlineStr">
        <is>
          <t>Actual Value</t>
        </is>
      </c>
      <c r="D47" s="27" t="inlineStr">
        <is>
          <t>Unit</t>
        </is>
      </c>
      <c r="E47" s="27" t="inlineStr">
        <is>
          <t>% Dev.</t>
        </is>
      </c>
      <c r="F47" s="27" t="inlineStr">
        <is>
          <t>Tolerance</t>
        </is>
      </c>
      <c r="G47" s="27" t="inlineStr">
        <is>
          <t>Status</t>
        </is>
      </c>
      <c r="H47" s="27" t="inlineStr">
        <is>
          <t>Notes</t>
        </is>
      </c>
    </row>
    <row r="48" ht="16" customHeight="1">
      <c r="A48" s="14" t="inlineStr">
        <is>
          <t>Total Supply CFM</t>
        </is>
      </c>
      <c r="B48" s="15" t="inlineStr"/>
      <c r="C48" s="28" t="inlineStr"/>
      <c r="D48" s="15" t="inlineStr">
        <is>
          <t>CFM</t>
        </is>
      </c>
      <c r="E48" s="15">
        <f>IF(AND(B48&lt;&gt;"",C48&lt;&gt;"",B48&lt;&gt;0),ROUND((C48-B48)/B48*100,1),"")</f>
        <v/>
      </c>
      <c r="F48" s="15" t="inlineStr">
        <is>
          <t>±10%</t>
        </is>
      </c>
      <c r="G48" s="24">
        <f>IF(E48="","",IF(ABS(E48)&lt;=10,"✔ Accept","✘ Reject"))</f>
        <v/>
      </c>
      <c r="H48" s="15" t="inlineStr"/>
    </row>
    <row r="49" ht="16" customHeight="1">
      <c r="A49" s="16" t="inlineStr">
        <is>
          <t>Total Return / Exhaust CFM</t>
        </is>
      </c>
      <c r="B49" s="17" t="inlineStr"/>
      <c r="C49" s="28" t="inlineStr"/>
      <c r="D49" s="17" t="inlineStr">
        <is>
          <t>CFM</t>
        </is>
      </c>
      <c r="E49" s="17">
        <f>IF(AND(B49&lt;&gt;"",C49&lt;&gt;"",B49&lt;&gt;0),ROUND((C49-B49)/B49*100,1),"")</f>
        <v/>
      </c>
      <c r="F49" s="17" t="inlineStr">
        <is>
          <t>±10%</t>
        </is>
      </c>
      <c r="G49" s="23">
        <f>IF(E49="","",IF(ABS(E49)&lt;=10,"✔ Accept","✘ Reject"))</f>
        <v/>
      </c>
      <c r="H49" s="17" t="inlineStr"/>
    </row>
    <row r="50" ht="16" customHeight="1">
      <c r="A50" s="14" t="inlineStr">
        <is>
          <t>Outdoor Air CFM (measured)</t>
        </is>
      </c>
      <c r="B50" s="15" t="inlineStr"/>
      <c r="C50" s="28" t="inlineStr"/>
      <c r="D50" s="15" t="inlineStr">
        <is>
          <t>CFM</t>
        </is>
      </c>
      <c r="E50" s="15">
        <f>IF(AND(B50&lt;&gt;"",C50&lt;&gt;"",B50&lt;&gt;0),ROUND((C50-B50)/B50*100,1),"")</f>
        <v/>
      </c>
      <c r="F50" s="15" t="inlineStr">
        <is>
          <t>±10%</t>
        </is>
      </c>
      <c r="G50" s="24">
        <f>IF(E50="","",IF(ABS(E50)&lt;=10,"✔ Accept","✘ Reject"))</f>
        <v/>
      </c>
      <c r="H50" s="15" t="inlineStr"/>
    </row>
    <row r="51" ht="16" customHeight="1">
      <c r="A51" s="16" t="inlineStr">
        <is>
          <t>Supply Static Pressure (total)</t>
        </is>
      </c>
      <c r="B51" s="17" t="inlineStr"/>
      <c r="C51" s="28" t="inlineStr"/>
      <c r="D51" s="17" t="inlineStr">
        <is>
          <t>in. w.c.</t>
        </is>
      </c>
      <c r="E51" s="17">
        <f>IF(AND(B51&lt;&gt;"",C51&lt;&gt;"",B51&lt;&gt;0),ROUND((C51-B51)/B51*100,1),"")</f>
        <v/>
      </c>
      <c r="F51" s="17" t="inlineStr">
        <is>
          <t>±10%</t>
        </is>
      </c>
      <c r="G51" s="23">
        <f>IF(E51="","",IF(ABS(E51)&lt;=10,"✔ Accept","✘ Reject"))</f>
        <v/>
      </c>
      <c r="H51" s="17" t="inlineStr"/>
    </row>
    <row r="52" ht="16" customHeight="1">
      <c r="A52" s="14" t="inlineStr">
        <is>
          <t>Return Static Pressure</t>
        </is>
      </c>
      <c r="B52" s="15" t="inlineStr"/>
      <c r="C52" s="28" t="inlineStr"/>
      <c r="D52" s="15" t="inlineStr">
        <is>
          <t>in. w.c.</t>
        </is>
      </c>
      <c r="E52" s="15">
        <f>IF(AND(B52&lt;&gt;"",C52&lt;&gt;"",B52&lt;&gt;0),ROUND((C52-B52)/B52*100,1),"")</f>
        <v/>
      </c>
      <c r="F52" s="15" t="inlineStr">
        <is>
          <t>±10%</t>
        </is>
      </c>
      <c r="G52" s="24">
        <f>IF(E52="","",IF(ABS(E52)&lt;=10,"✔ Accept","✘ Reject"))</f>
        <v/>
      </c>
      <c r="H52" s="15" t="inlineStr"/>
    </row>
    <row r="53" ht="16" customHeight="1">
      <c r="A53" s="16" t="inlineStr">
        <is>
          <t>External Static Pressure</t>
        </is>
      </c>
      <c r="B53" s="17" t="inlineStr"/>
      <c r="C53" s="28" t="inlineStr"/>
      <c r="D53" s="17" t="inlineStr">
        <is>
          <t>in. w.c.</t>
        </is>
      </c>
      <c r="E53" s="17">
        <f>IF(AND(B53&lt;&gt;"",C53&lt;&gt;"",B53&lt;&gt;0),ROUND((C53-B53)/B53*100,1),"")</f>
        <v/>
      </c>
      <c r="F53" s="17" t="inlineStr">
        <is>
          <t>±10%</t>
        </is>
      </c>
      <c r="G53" s="23">
        <f>IF(E53="","",IF(ABS(E53)&lt;=10,"✔ Accept","✘ Reject"))</f>
        <v/>
      </c>
      <c r="H53" s="17" t="inlineStr"/>
    </row>
    <row r="54" ht="16" customHeight="1">
      <c r="A54" s="14" t="inlineStr">
        <is>
          <t>Fan RPM (measured)</t>
        </is>
      </c>
      <c r="B54" s="15" t="inlineStr"/>
      <c r="C54" s="28" t="inlineStr"/>
      <c r="D54" s="15" t="inlineStr">
        <is>
          <t>RPM</t>
        </is>
      </c>
      <c r="E54" s="15">
        <f>IF(AND(B54&lt;&gt;"",C54&lt;&gt;"",B54&lt;&gt;0),ROUND((C54-B54)/B54*100,1),"")</f>
        <v/>
      </c>
      <c r="F54" s="15" t="inlineStr">
        <is>
          <t>±5%</t>
        </is>
      </c>
      <c r="G54" s="24">
        <f>IF(E54="","",IF(ABS(E54)&lt;=10,"✔ Accept","✘ Reject"))</f>
        <v/>
      </c>
      <c r="H54" s="15" t="inlineStr"/>
    </row>
    <row r="55" ht="16" customHeight="1">
      <c r="A55" s="16" t="inlineStr">
        <is>
          <t>Motor Full Load Amps (FLA nameplate)</t>
        </is>
      </c>
      <c r="B55" s="17" t="inlineStr"/>
      <c r="C55" s="28" t="inlineStr"/>
      <c r="D55" s="17" t="inlineStr">
        <is>
          <t>Amps</t>
        </is>
      </c>
      <c r="E55" s="17">
        <f>IF(AND(B55&lt;&gt;"",C55&lt;&gt;"",B55&lt;&gt;0),ROUND((C55-B55)/B55*100,1),"")</f>
        <v/>
      </c>
      <c r="F55" s="17" t="inlineStr">
        <is>
          <t>≤ nameplate</t>
        </is>
      </c>
      <c r="G55" s="23">
        <f>IF(E55="","",IF(ABS(E55)&lt;=10,"✔ Accept","✘ Reject"))</f>
        <v/>
      </c>
      <c r="H55" s="17" t="inlineStr"/>
    </row>
    <row r="56" ht="16" customHeight="1">
      <c r="A56" s="14" t="inlineStr">
        <is>
          <t>Motor Running Amps (actual)</t>
        </is>
      </c>
      <c r="B56" s="15" t="inlineStr"/>
      <c r="C56" s="28" t="inlineStr"/>
      <c r="D56" s="15" t="inlineStr">
        <is>
          <t>Amps</t>
        </is>
      </c>
      <c r="E56" s="15">
        <f>IF(AND(B56&lt;&gt;"",C56&lt;&gt;"",B56&lt;&gt;0),ROUND((C56-B56)/B56*100,1),"")</f>
        <v/>
      </c>
      <c r="F56" s="15" t="inlineStr">
        <is>
          <t>≤ nameplate FLA</t>
        </is>
      </c>
      <c r="G56" s="24">
        <f>IF(E56="","",IF(ABS(E56)&lt;=10,"✔ Accept","✘ Reject"))</f>
        <v/>
      </c>
      <c r="H56" s="15" t="inlineStr"/>
    </row>
    <row r="57" ht="16" customHeight="1">
      <c r="A57" s="16" t="inlineStr">
        <is>
          <t>Motor Voltage (L1-L2)</t>
        </is>
      </c>
      <c r="B57" s="17" t="inlineStr"/>
      <c r="C57" s="28" t="inlineStr"/>
      <c r="D57" s="17" t="inlineStr">
        <is>
          <t>VAC</t>
        </is>
      </c>
      <c r="E57" s="17">
        <f>IF(AND(B57&lt;&gt;"",C57&lt;&gt;"",B57&lt;&gt;0),ROUND((C57-B57)/B57*100,1),"")</f>
        <v/>
      </c>
      <c r="F57" s="17" t="inlineStr">
        <is>
          <t>±10% nameplate</t>
        </is>
      </c>
      <c r="G57" s="23">
        <f>IF(E57="","",IF(ABS(E57)&lt;=10,"✔ Accept","✘ Reject"))</f>
        <v/>
      </c>
      <c r="H57" s="17" t="inlineStr"/>
    </row>
    <row r="58" ht="16" customHeight="1">
      <c r="A58" s="14" t="inlineStr">
        <is>
          <t>Motor Voltage (L1-L3)</t>
        </is>
      </c>
      <c r="B58" s="15" t="inlineStr"/>
      <c r="C58" s="28" t="inlineStr"/>
      <c r="D58" s="15" t="inlineStr">
        <is>
          <t>VAC</t>
        </is>
      </c>
      <c r="E58" s="15" t="inlineStr"/>
      <c r="F58" s="15" t="inlineStr">
        <is>
          <t>±10% nameplate</t>
        </is>
      </c>
      <c r="G58" s="15" t="inlineStr"/>
      <c r="H58" s="15" t="inlineStr"/>
    </row>
    <row r="59" ht="16" customHeight="1">
      <c r="A59" s="16" t="inlineStr">
        <is>
          <t>Motor Voltage (L2-L3)</t>
        </is>
      </c>
      <c r="B59" s="17" t="inlineStr"/>
      <c r="C59" s="28" t="inlineStr"/>
      <c r="D59" s="17" t="inlineStr">
        <is>
          <t>VAC</t>
        </is>
      </c>
      <c r="E59" s="17" t="inlineStr"/>
      <c r="F59" s="17" t="inlineStr">
        <is>
          <t>±10% nameplate</t>
        </is>
      </c>
      <c r="G59" s="17" t="inlineStr"/>
      <c r="H59" s="17" t="inlineStr"/>
    </row>
    <row r="60" ht="16" customHeight="1">
      <c r="A60" s="14" t="inlineStr">
        <is>
          <t>Belt Drive Sheave Sizes (motor / fan)</t>
        </is>
      </c>
      <c r="B60" s="15" t="inlineStr"/>
      <c r="C60" s="28" t="inlineStr"/>
      <c r="D60" s="15" t="inlineStr">
        <is>
          <t>in.</t>
        </is>
      </c>
      <c r="E60" s="15" t="inlineStr"/>
      <c r="F60" s="15" t="inlineStr">
        <is>
          <t>Per design</t>
        </is>
      </c>
      <c r="G60" s="15" t="inlineStr"/>
      <c r="H60" s="15" t="inlineStr"/>
    </row>
    <row r="61" ht="16" customHeight="1">
      <c r="A61" s="16" t="inlineStr">
        <is>
          <t>VFD Output Frequency (if applicable)</t>
        </is>
      </c>
      <c r="B61" s="17" t="inlineStr"/>
      <c r="C61" s="28" t="inlineStr"/>
      <c r="D61" s="17" t="inlineStr">
        <is>
          <t>Hz</t>
        </is>
      </c>
      <c r="E61" s="17" t="inlineStr"/>
      <c r="F61" s="17" t="inlineStr">
        <is>
          <t>Per BAS cmd</t>
        </is>
      </c>
      <c r="G61" s="17" t="inlineStr"/>
      <c r="H61" s="17" t="inlineStr"/>
    </row>
    <row r="62" ht="16" customHeight="1">
      <c r="A62" s="14" t="inlineStr">
        <is>
          <t>Supply Air Temp (cooling mode)</t>
        </is>
      </c>
      <c r="B62" s="15" t="inlineStr"/>
      <c r="C62" s="28" t="inlineStr"/>
      <c r="D62" s="15" t="inlineStr">
        <is>
          <t>°F</t>
        </is>
      </c>
      <c r="E62" s="15" t="inlineStr"/>
      <c r="F62" s="15" t="inlineStr">
        <is>
          <t>Per design</t>
        </is>
      </c>
      <c r="G62" s="15" t="inlineStr"/>
      <c r="H62" s="15" t="inlineStr"/>
    </row>
    <row r="63" ht="16" customHeight="1">
      <c r="A63" s="16" t="inlineStr">
        <is>
          <t>Return Air Temp</t>
        </is>
      </c>
      <c r="B63" s="17" t="inlineStr"/>
      <c r="C63" s="28" t="inlineStr"/>
      <c r="D63" s="17" t="inlineStr">
        <is>
          <t>°F</t>
        </is>
      </c>
      <c r="E63" s="17" t="inlineStr"/>
      <c r="F63" s="17" t="inlineStr">
        <is>
          <t>Per design</t>
        </is>
      </c>
      <c r="G63" s="17" t="inlineStr"/>
      <c r="H63" s="17" t="inlineStr"/>
    </row>
    <row r="64" ht="16" customHeight="1">
      <c r="A64" s="14" t="inlineStr">
        <is>
          <t>Mixed Air Temp</t>
        </is>
      </c>
      <c r="B64" s="15" t="inlineStr"/>
      <c r="C64" s="28" t="inlineStr"/>
      <c r="D64" s="15" t="inlineStr">
        <is>
          <t>°F</t>
        </is>
      </c>
      <c r="E64" s="15" t="inlineStr"/>
      <c r="F64" s="15" t="inlineStr">
        <is>
          <t>Per design</t>
        </is>
      </c>
      <c r="G64" s="15" t="inlineStr"/>
      <c r="H64" s="15" t="inlineStr"/>
    </row>
    <row r="65" ht="16" customHeight="1">
      <c r="A65" s="16" t="inlineStr">
        <is>
          <t>Coil Delta-T (cooling)</t>
        </is>
      </c>
      <c r="B65" s="17" t="inlineStr"/>
      <c r="C65" s="28" t="inlineStr"/>
      <c r="D65" s="17" t="inlineStr">
        <is>
          <t>°F</t>
        </is>
      </c>
      <c r="E65" s="17" t="inlineStr"/>
      <c r="F65" s="17" t="inlineStr">
        <is>
          <t>Per design</t>
        </is>
      </c>
      <c r="G65" s="17" t="inlineStr"/>
      <c r="H65" s="17" t="inlineStr"/>
    </row>
    <row r="66" ht="6" customHeight="1"/>
    <row r="67" ht="16" customHeight="1">
      <c r="A67" s="25" t="inlineStr">
        <is>
          <t xml:space="preserve">  Fan / AHU System:  RTU-1</t>
        </is>
      </c>
      <c r="B67" s="26" t="n"/>
      <c r="C67" s="26" t="n"/>
      <c r="D67" s="26" t="n"/>
      <c r="E67" s="26" t="n"/>
      <c r="F67" s="26" t="n"/>
      <c r="G67" s="26" t="n"/>
      <c r="H67" s="26" t="n"/>
    </row>
    <row r="68" ht="14" customHeight="1">
      <c r="A68" s="27" t="inlineStr">
        <is>
          <t>Parameter</t>
        </is>
      </c>
      <c r="B68" s="27" t="inlineStr">
        <is>
          <t>Design Value</t>
        </is>
      </c>
      <c r="C68" s="27" t="inlineStr">
        <is>
          <t>Actual Value</t>
        </is>
      </c>
      <c r="D68" s="27" t="inlineStr">
        <is>
          <t>Unit</t>
        </is>
      </c>
      <c r="E68" s="27" t="inlineStr">
        <is>
          <t>% Dev.</t>
        </is>
      </c>
      <c r="F68" s="27" t="inlineStr">
        <is>
          <t>Tolerance</t>
        </is>
      </c>
      <c r="G68" s="27" t="inlineStr">
        <is>
          <t>Status</t>
        </is>
      </c>
      <c r="H68" s="27" t="inlineStr">
        <is>
          <t>Notes</t>
        </is>
      </c>
    </row>
    <row r="69" ht="16" customHeight="1">
      <c r="A69" s="14" t="inlineStr">
        <is>
          <t>Total Supply CFM</t>
        </is>
      </c>
      <c r="B69" s="15" t="inlineStr"/>
      <c r="C69" s="28" t="inlineStr"/>
      <c r="D69" s="15" t="inlineStr">
        <is>
          <t>CFM</t>
        </is>
      </c>
      <c r="E69" s="15">
        <f>IF(AND(B69&lt;&gt;"",C69&lt;&gt;"",B69&lt;&gt;0),ROUND((C69-B69)/B69*100,1),"")</f>
        <v/>
      </c>
      <c r="F69" s="15" t="inlineStr">
        <is>
          <t>±10%</t>
        </is>
      </c>
      <c r="G69" s="24">
        <f>IF(E69="","",IF(ABS(E69)&lt;=10,"✔ Accept","✘ Reject"))</f>
        <v/>
      </c>
      <c r="H69" s="15" t="inlineStr"/>
    </row>
    <row r="70" ht="16" customHeight="1">
      <c r="A70" s="16" t="inlineStr">
        <is>
          <t>Total Return / Exhaust CFM</t>
        </is>
      </c>
      <c r="B70" s="17" t="inlineStr"/>
      <c r="C70" s="28" t="inlineStr"/>
      <c r="D70" s="17" t="inlineStr">
        <is>
          <t>CFM</t>
        </is>
      </c>
      <c r="E70" s="17">
        <f>IF(AND(B70&lt;&gt;"",C70&lt;&gt;"",B70&lt;&gt;0),ROUND((C70-B70)/B70*100,1),"")</f>
        <v/>
      </c>
      <c r="F70" s="17" t="inlineStr">
        <is>
          <t>±10%</t>
        </is>
      </c>
      <c r="G70" s="23">
        <f>IF(E70="","",IF(ABS(E70)&lt;=10,"✔ Accept","✘ Reject"))</f>
        <v/>
      </c>
      <c r="H70" s="17" t="inlineStr"/>
    </row>
    <row r="71" ht="16" customHeight="1">
      <c r="A71" s="14" t="inlineStr">
        <is>
          <t>Outdoor Air CFM (measured)</t>
        </is>
      </c>
      <c r="B71" s="15" t="inlineStr"/>
      <c r="C71" s="28" t="inlineStr"/>
      <c r="D71" s="15" t="inlineStr">
        <is>
          <t>CFM</t>
        </is>
      </c>
      <c r="E71" s="15">
        <f>IF(AND(B71&lt;&gt;"",C71&lt;&gt;"",B71&lt;&gt;0),ROUND((C71-B71)/B71*100,1),"")</f>
        <v/>
      </c>
      <c r="F71" s="15" t="inlineStr">
        <is>
          <t>±10%</t>
        </is>
      </c>
      <c r="G71" s="24">
        <f>IF(E71="","",IF(ABS(E71)&lt;=10,"✔ Accept","✘ Reject"))</f>
        <v/>
      </c>
      <c r="H71" s="15" t="inlineStr"/>
    </row>
    <row r="72" ht="16" customHeight="1">
      <c r="A72" s="16" t="inlineStr">
        <is>
          <t>Supply Static Pressure (total)</t>
        </is>
      </c>
      <c r="B72" s="17" t="inlineStr"/>
      <c r="C72" s="28" t="inlineStr"/>
      <c r="D72" s="17" t="inlineStr">
        <is>
          <t>in. w.c.</t>
        </is>
      </c>
      <c r="E72" s="17">
        <f>IF(AND(B72&lt;&gt;"",C72&lt;&gt;"",B72&lt;&gt;0),ROUND((C72-B72)/B72*100,1),"")</f>
        <v/>
      </c>
      <c r="F72" s="17" t="inlineStr">
        <is>
          <t>±10%</t>
        </is>
      </c>
      <c r="G72" s="23">
        <f>IF(E72="","",IF(ABS(E72)&lt;=10,"✔ Accept","✘ Reject"))</f>
        <v/>
      </c>
      <c r="H72" s="17" t="inlineStr"/>
    </row>
    <row r="73" ht="16" customHeight="1">
      <c r="A73" s="14" t="inlineStr">
        <is>
          <t>Return Static Pressure</t>
        </is>
      </c>
      <c r="B73" s="15" t="inlineStr"/>
      <c r="C73" s="28" t="inlineStr"/>
      <c r="D73" s="15" t="inlineStr">
        <is>
          <t>in. w.c.</t>
        </is>
      </c>
      <c r="E73" s="15">
        <f>IF(AND(B73&lt;&gt;"",C73&lt;&gt;"",B73&lt;&gt;0),ROUND((C73-B73)/B73*100,1),"")</f>
        <v/>
      </c>
      <c r="F73" s="15" t="inlineStr">
        <is>
          <t>±10%</t>
        </is>
      </c>
      <c r="G73" s="24">
        <f>IF(E73="","",IF(ABS(E73)&lt;=10,"✔ Accept","✘ Reject"))</f>
        <v/>
      </c>
      <c r="H73" s="15" t="inlineStr"/>
    </row>
    <row r="74" ht="16" customHeight="1">
      <c r="A74" s="16" t="inlineStr">
        <is>
          <t>External Static Pressure</t>
        </is>
      </c>
      <c r="B74" s="17" t="inlineStr"/>
      <c r="C74" s="28" t="inlineStr"/>
      <c r="D74" s="17" t="inlineStr">
        <is>
          <t>in. w.c.</t>
        </is>
      </c>
      <c r="E74" s="17">
        <f>IF(AND(B74&lt;&gt;"",C74&lt;&gt;"",B74&lt;&gt;0),ROUND((C74-B74)/B74*100,1),"")</f>
        <v/>
      </c>
      <c r="F74" s="17" t="inlineStr">
        <is>
          <t>±10%</t>
        </is>
      </c>
      <c r="G74" s="23">
        <f>IF(E74="","",IF(ABS(E74)&lt;=10,"✔ Accept","✘ Reject"))</f>
        <v/>
      </c>
      <c r="H74" s="17" t="inlineStr"/>
    </row>
    <row r="75" ht="16" customHeight="1">
      <c r="A75" s="14" t="inlineStr">
        <is>
          <t>Fan RPM (measured)</t>
        </is>
      </c>
      <c r="B75" s="15" t="inlineStr"/>
      <c r="C75" s="28" t="inlineStr"/>
      <c r="D75" s="15" t="inlineStr">
        <is>
          <t>RPM</t>
        </is>
      </c>
      <c r="E75" s="15">
        <f>IF(AND(B75&lt;&gt;"",C75&lt;&gt;"",B75&lt;&gt;0),ROUND((C75-B75)/B75*100,1),"")</f>
        <v/>
      </c>
      <c r="F75" s="15" t="inlineStr">
        <is>
          <t>±5%</t>
        </is>
      </c>
      <c r="G75" s="24">
        <f>IF(E75="","",IF(ABS(E75)&lt;=10,"✔ Accept","✘ Reject"))</f>
        <v/>
      </c>
      <c r="H75" s="15" t="inlineStr"/>
    </row>
    <row r="76" ht="16" customHeight="1">
      <c r="A76" s="16" t="inlineStr">
        <is>
          <t>Motor Full Load Amps (FLA nameplate)</t>
        </is>
      </c>
      <c r="B76" s="17" t="inlineStr"/>
      <c r="C76" s="28" t="inlineStr"/>
      <c r="D76" s="17" t="inlineStr">
        <is>
          <t>Amps</t>
        </is>
      </c>
      <c r="E76" s="17">
        <f>IF(AND(B76&lt;&gt;"",C76&lt;&gt;"",B76&lt;&gt;0),ROUND((C76-B76)/B76*100,1),"")</f>
        <v/>
      </c>
      <c r="F76" s="17" t="inlineStr">
        <is>
          <t>≤ nameplate</t>
        </is>
      </c>
      <c r="G76" s="23">
        <f>IF(E76="","",IF(ABS(E76)&lt;=10,"✔ Accept","✘ Reject"))</f>
        <v/>
      </c>
      <c r="H76" s="17" t="inlineStr"/>
    </row>
    <row r="77" ht="16" customHeight="1">
      <c r="A77" s="14" t="inlineStr">
        <is>
          <t>Motor Running Amps (actual)</t>
        </is>
      </c>
      <c r="B77" s="15" t="inlineStr"/>
      <c r="C77" s="28" t="inlineStr"/>
      <c r="D77" s="15" t="inlineStr">
        <is>
          <t>Amps</t>
        </is>
      </c>
      <c r="E77" s="15">
        <f>IF(AND(B77&lt;&gt;"",C77&lt;&gt;"",B77&lt;&gt;0),ROUND((C77-B77)/B77*100,1),"")</f>
        <v/>
      </c>
      <c r="F77" s="15" t="inlineStr">
        <is>
          <t>≤ nameplate FLA</t>
        </is>
      </c>
      <c r="G77" s="24">
        <f>IF(E77="","",IF(ABS(E77)&lt;=10,"✔ Accept","✘ Reject"))</f>
        <v/>
      </c>
      <c r="H77" s="15" t="inlineStr"/>
    </row>
    <row r="78" ht="16" customHeight="1">
      <c r="A78" s="16" t="inlineStr">
        <is>
          <t>Motor Voltage (L1-L2)</t>
        </is>
      </c>
      <c r="B78" s="17" t="inlineStr"/>
      <c r="C78" s="28" t="inlineStr"/>
      <c r="D78" s="17" t="inlineStr">
        <is>
          <t>VAC</t>
        </is>
      </c>
      <c r="E78" s="17">
        <f>IF(AND(B78&lt;&gt;"",C78&lt;&gt;"",B78&lt;&gt;0),ROUND((C78-B78)/B78*100,1),"")</f>
        <v/>
      </c>
      <c r="F78" s="17" t="inlineStr">
        <is>
          <t>±10% nameplate</t>
        </is>
      </c>
      <c r="G78" s="23">
        <f>IF(E78="","",IF(ABS(E78)&lt;=10,"✔ Accept","✘ Reject"))</f>
        <v/>
      </c>
      <c r="H78" s="17" t="inlineStr"/>
    </row>
    <row r="79" ht="16" customHeight="1">
      <c r="A79" s="14" t="inlineStr">
        <is>
          <t>Motor Voltage (L1-L3)</t>
        </is>
      </c>
      <c r="B79" s="15" t="inlineStr"/>
      <c r="C79" s="28" t="inlineStr"/>
      <c r="D79" s="15" t="inlineStr">
        <is>
          <t>VAC</t>
        </is>
      </c>
      <c r="E79" s="15" t="inlineStr"/>
      <c r="F79" s="15" t="inlineStr">
        <is>
          <t>±10% nameplate</t>
        </is>
      </c>
      <c r="G79" s="15" t="inlineStr"/>
      <c r="H79" s="15" t="inlineStr"/>
    </row>
    <row r="80" ht="16" customHeight="1">
      <c r="A80" s="16" t="inlineStr">
        <is>
          <t>Motor Voltage (L2-L3)</t>
        </is>
      </c>
      <c r="B80" s="17" t="inlineStr"/>
      <c r="C80" s="28" t="inlineStr"/>
      <c r="D80" s="17" t="inlineStr">
        <is>
          <t>VAC</t>
        </is>
      </c>
      <c r="E80" s="17" t="inlineStr"/>
      <c r="F80" s="17" t="inlineStr">
        <is>
          <t>±10% nameplate</t>
        </is>
      </c>
      <c r="G80" s="17" t="inlineStr"/>
      <c r="H80" s="17" t="inlineStr"/>
    </row>
    <row r="81" ht="16" customHeight="1">
      <c r="A81" s="14" t="inlineStr">
        <is>
          <t>Belt Drive Sheave Sizes (motor / fan)</t>
        </is>
      </c>
      <c r="B81" s="15" t="inlineStr"/>
      <c r="C81" s="28" t="inlineStr"/>
      <c r="D81" s="15" t="inlineStr">
        <is>
          <t>in.</t>
        </is>
      </c>
      <c r="E81" s="15" t="inlineStr"/>
      <c r="F81" s="15" t="inlineStr">
        <is>
          <t>Per design</t>
        </is>
      </c>
      <c r="G81" s="15" t="inlineStr"/>
      <c r="H81" s="15" t="inlineStr"/>
    </row>
    <row r="82" ht="16" customHeight="1">
      <c r="A82" s="16" t="inlineStr">
        <is>
          <t>VFD Output Frequency (if applicable)</t>
        </is>
      </c>
      <c r="B82" s="17" t="inlineStr"/>
      <c r="C82" s="28" t="inlineStr"/>
      <c r="D82" s="17" t="inlineStr">
        <is>
          <t>Hz</t>
        </is>
      </c>
      <c r="E82" s="17" t="inlineStr"/>
      <c r="F82" s="17" t="inlineStr">
        <is>
          <t>Per BAS cmd</t>
        </is>
      </c>
      <c r="G82" s="17" t="inlineStr"/>
      <c r="H82" s="17" t="inlineStr"/>
    </row>
    <row r="83" ht="16" customHeight="1">
      <c r="A83" s="14" t="inlineStr">
        <is>
          <t>Supply Air Temp (cooling mode)</t>
        </is>
      </c>
      <c r="B83" s="15" t="inlineStr"/>
      <c r="C83" s="28" t="inlineStr"/>
      <c r="D83" s="15" t="inlineStr">
        <is>
          <t>°F</t>
        </is>
      </c>
      <c r="E83" s="15" t="inlineStr"/>
      <c r="F83" s="15" t="inlineStr">
        <is>
          <t>Per design</t>
        </is>
      </c>
      <c r="G83" s="15" t="inlineStr"/>
      <c r="H83" s="15" t="inlineStr"/>
    </row>
    <row r="84" ht="16" customHeight="1">
      <c r="A84" s="16" t="inlineStr">
        <is>
          <t>Return Air Temp</t>
        </is>
      </c>
      <c r="B84" s="17" t="inlineStr"/>
      <c r="C84" s="28" t="inlineStr"/>
      <c r="D84" s="17" t="inlineStr">
        <is>
          <t>°F</t>
        </is>
      </c>
      <c r="E84" s="17" t="inlineStr"/>
      <c r="F84" s="17" t="inlineStr">
        <is>
          <t>Per design</t>
        </is>
      </c>
      <c r="G84" s="17" t="inlineStr"/>
      <c r="H84" s="17" t="inlineStr"/>
    </row>
    <row r="85" ht="16" customHeight="1">
      <c r="A85" s="14" t="inlineStr">
        <is>
          <t>Mixed Air Temp</t>
        </is>
      </c>
      <c r="B85" s="15" t="inlineStr"/>
      <c r="C85" s="28" t="inlineStr"/>
      <c r="D85" s="15" t="inlineStr">
        <is>
          <t>°F</t>
        </is>
      </c>
      <c r="E85" s="15" t="inlineStr"/>
      <c r="F85" s="15" t="inlineStr">
        <is>
          <t>Per design</t>
        </is>
      </c>
      <c r="G85" s="15" t="inlineStr"/>
      <c r="H85" s="15" t="inlineStr"/>
    </row>
    <row r="86" ht="16" customHeight="1">
      <c r="A86" s="16" t="inlineStr">
        <is>
          <t>Coil Delta-T (cooling)</t>
        </is>
      </c>
      <c r="B86" s="17" t="inlineStr"/>
      <c r="C86" s="28" t="inlineStr"/>
      <c r="D86" s="17" t="inlineStr">
        <is>
          <t>°F</t>
        </is>
      </c>
      <c r="E86" s="17" t="inlineStr"/>
      <c r="F86" s="17" t="inlineStr">
        <is>
          <t>Per design</t>
        </is>
      </c>
      <c r="G86" s="17" t="inlineStr"/>
      <c r="H86" s="17" t="inlineStr"/>
    </row>
    <row r="87" ht="6" customHeight="1"/>
    <row r="88" ht="16" customHeight="1">
      <c r="A88" s="25" t="inlineStr">
        <is>
          <t xml:space="preserve">  Fan / AHU System:  RTU-2</t>
        </is>
      </c>
      <c r="B88" s="26" t="n"/>
      <c r="C88" s="26" t="n"/>
      <c r="D88" s="26" t="n"/>
      <c r="E88" s="26" t="n"/>
      <c r="F88" s="26" t="n"/>
      <c r="G88" s="26" t="n"/>
      <c r="H88" s="26" t="n"/>
    </row>
    <row r="89" ht="14" customHeight="1">
      <c r="A89" s="27" t="inlineStr">
        <is>
          <t>Parameter</t>
        </is>
      </c>
      <c r="B89" s="27" t="inlineStr">
        <is>
          <t>Design Value</t>
        </is>
      </c>
      <c r="C89" s="27" t="inlineStr">
        <is>
          <t>Actual Value</t>
        </is>
      </c>
      <c r="D89" s="27" t="inlineStr">
        <is>
          <t>Unit</t>
        </is>
      </c>
      <c r="E89" s="27" t="inlineStr">
        <is>
          <t>% Dev.</t>
        </is>
      </c>
      <c r="F89" s="27" t="inlineStr">
        <is>
          <t>Tolerance</t>
        </is>
      </c>
      <c r="G89" s="27" t="inlineStr">
        <is>
          <t>Status</t>
        </is>
      </c>
      <c r="H89" s="27" t="inlineStr">
        <is>
          <t>Notes</t>
        </is>
      </c>
    </row>
    <row r="90" ht="16" customHeight="1">
      <c r="A90" s="14" t="inlineStr">
        <is>
          <t>Total Supply CFM</t>
        </is>
      </c>
      <c r="B90" s="15" t="inlineStr"/>
      <c r="C90" s="28" t="inlineStr"/>
      <c r="D90" s="15" t="inlineStr">
        <is>
          <t>CFM</t>
        </is>
      </c>
      <c r="E90" s="15">
        <f>IF(AND(B90&lt;&gt;"",C90&lt;&gt;"",B90&lt;&gt;0),ROUND((C90-B90)/B90*100,1),"")</f>
        <v/>
      </c>
      <c r="F90" s="15" t="inlineStr">
        <is>
          <t>±10%</t>
        </is>
      </c>
      <c r="G90" s="24">
        <f>IF(E90="","",IF(ABS(E90)&lt;=10,"✔ Accept","✘ Reject"))</f>
        <v/>
      </c>
      <c r="H90" s="15" t="inlineStr"/>
    </row>
    <row r="91" ht="16" customHeight="1">
      <c r="A91" s="16" t="inlineStr">
        <is>
          <t>Total Return / Exhaust CFM</t>
        </is>
      </c>
      <c r="B91" s="17" t="inlineStr"/>
      <c r="C91" s="28" t="inlineStr"/>
      <c r="D91" s="17" t="inlineStr">
        <is>
          <t>CFM</t>
        </is>
      </c>
      <c r="E91" s="17">
        <f>IF(AND(B91&lt;&gt;"",C91&lt;&gt;"",B91&lt;&gt;0),ROUND((C91-B91)/B91*100,1),"")</f>
        <v/>
      </c>
      <c r="F91" s="17" t="inlineStr">
        <is>
          <t>±10%</t>
        </is>
      </c>
      <c r="G91" s="23">
        <f>IF(E91="","",IF(ABS(E91)&lt;=10,"✔ Accept","✘ Reject"))</f>
        <v/>
      </c>
      <c r="H91" s="17" t="inlineStr"/>
    </row>
    <row r="92" ht="16" customHeight="1">
      <c r="A92" s="14" t="inlineStr">
        <is>
          <t>Outdoor Air CFM (measured)</t>
        </is>
      </c>
      <c r="B92" s="15" t="inlineStr"/>
      <c r="C92" s="28" t="inlineStr"/>
      <c r="D92" s="15" t="inlineStr">
        <is>
          <t>CFM</t>
        </is>
      </c>
      <c r="E92" s="15">
        <f>IF(AND(B92&lt;&gt;"",C92&lt;&gt;"",B92&lt;&gt;0),ROUND((C92-B92)/B92*100,1),"")</f>
        <v/>
      </c>
      <c r="F92" s="15" t="inlineStr">
        <is>
          <t>±10%</t>
        </is>
      </c>
      <c r="G92" s="24">
        <f>IF(E92="","",IF(ABS(E92)&lt;=10,"✔ Accept","✘ Reject"))</f>
        <v/>
      </c>
      <c r="H92" s="15" t="inlineStr"/>
    </row>
    <row r="93" ht="16" customHeight="1">
      <c r="A93" s="16" t="inlineStr">
        <is>
          <t>Supply Static Pressure (total)</t>
        </is>
      </c>
      <c r="B93" s="17" t="inlineStr"/>
      <c r="C93" s="28" t="inlineStr"/>
      <c r="D93" s="17" t="inlineStr">
        <is>
          <t>in. w.c.</t>
        </is>
      </c>
      <c r="E93" s="17">
        <f>IF(AND(B93&lt;&gt;"",C93&lt;&gt;"",B93&lt;&gt;0),ROUND((C93-B93)/B93*100,1),"")</f>
        <v/>
      </c>
      <c r="F93" s="17" t="inlineStr">
        <is>
          <t>±10%</t>
        </is>
      </c>
      <c r="G93" s="23">
        <f>IF(E93="","",IF(ABS(E93)&lt;=10,"✔ Accept","✘ Reject"))</f>
        <v/>
      </c>
      <c r="H93" s="17" t="inlineStr"/>
    </row>
    <row r="94" ht="16" customHeight="1">
      <c r="A94" s="14" t="inlineStr">
        <is>
          <t>Return Static Pressure</t>
        </is>
      </c>
      <c r="B94" s="15" t="inlineStr"/>
      <c r="C94" s="28" t="inlineStr"/>
      <c r="D94" s="15" t="inlineStr">
        <is>
          <t>in. w.c.</t>
        </is>
      </c>
      <c r="E94" s="15">
        <f>IF(AND(B94&lt;&gt;"",C94&lt;&gt;"",B94&lt;&gt;0),ROUND((C94-B94)/B94*100,1),"")</f>
        <v/>
      </c>
      <c r="F94" s="15" t="inlineStr">
        <is>
          <t>±10%</t>
        </is>
      </c>
      <c r="G94" s="24">
        <f>IF(E94="","",IF(ABS(E94)&lt;=10,"✔ Accept","✘ Reject"))</f>
        <v/>
      </c>
      <c r="H94" s="15" t="inlineStr"/>
    </row>
    <row r="95" ht="16" customHeight="1">
      <c r="A95" s="16" t="inlineStr">
        <is>
          <t>External Static Pressure</t>
        </is>
      </c>
      <c r="B95" s="17" t="inlineStr"/>
      <c r="C95" s="28" t="inlineStr"/>
      <c r="D95" s="17" t="inlineStr">
        <is>
          <t>in. w.c.</t>
        </is>
      </c>
      <c r="E95" s="17">
        <f>IF(AND(B95&lt;&gt;"",C95&lt;&gt;"",B95&lt;&gt;0),ROUND((C95-B95)/B95*100,1),"")</f>
        <v/>
      </c>
      <c r="F95" s="17" t="inlineStr">
        <is>
          <t>±10%</t>
        </is>
      </c>
      <c r="G95" s="23">
        <f>IF(E95="","",IF(ABS(E95)&lt;=10,"✔ Accept","✘ Reject"))</f>
        <v/>
      </c>
      <c r="H95" s="17" t="inlineStr"/>
    </row>
    <row r="96" ht="16" customHeight="1">
      <c r="A96" s="14" t="inlineStr">
        <is>
          <t>Fan RPM (measured)</t>
        </is>
      </c>
      <c r="B96" s="15" t="inlineStr"/>
      <c r="C96" s="28" t="inlineStr"/>
      <c r="D96" s="15" t="inlineStr">
        <is>
          <t>RPM</t>
        </is>
      </c>
      <c r="E96" s="15">
        <f>IF(AND(B96&lt;&gt;"",C96&lt;&gt;"",B96&lt;&gt;0),ROUND((C96-B96)/B96*100,1),"")</f>
        <v/>
      </c>
      <c r="F96" s="15" t="inlineStr">
        <is>
          <t>±5%</t>
        </is>
      </c>
      <c r="G96" s="24">
        <f>IF(E96="","",IF(ABS(E96)&lt;=10,"✔ Accept","✘ Reject"))</f>
        <v/>
      </c>
      <c r="H96" s="15" t="inlineStr"/>
    </row>
    <row r="97" ht="16" customHeight="1">
      <c r="A97" s="16" t="inlineStr">
        <is>
          <t>Motor Full Load Amps (FLA nameplate)</t>
        </is>
      </c>
      <c r="B97" s="17" t="inlineStr"/>
      <c r="C97" s="28" t="inlineStr"/>
      <c r="D97" s="17" t="inlineStr">
        <is>
          <t>Amps</t>
        </is>
      </c>
      <c r="E97" s="17">
        <f>IF(AND(B97&lt;&gt;"",C97&lt;&gt;"",B97&lt;&gt;0),ROUND((C97-B97)/B97*100,1),"")</f>
        <v/>
      </c>
      <c r="F97" s="17" t="inlineStr">
        <is>
          <t>≤ nameplate</t>
        </is>
      </c>
      <c r="G97" s="23">
        <f>IF(E97="","",IF(ABS(E97)&lt;=10,"✔ Accept","✘ Reject"))</f>
        <v/>
      </c>
      <c r="H97" s="17" t="inlineStr"/>
    </row>
    <row r="98" ht="16" customHeight="1">
      <c r="A98" s="14" t="inlineStr">
        <is>
          <t>Motor Running Amps (actual)</t>
        </is>
      </c>
      <c r="B98" s="15" t="inlineStr"/>
      <c r="C98" s="28" t="inlineStr"/>
      <c r="D98" s="15" t="inlineStr">
        <is>
          <t>Amps</t>
        </is>
      </c>
      <c r="E98" s="15">
        <f>IF(AND(B98&lt;&gt;"",C98&lt;&gt;"",B98&lt;&gt;0),ROUND((C98-B98)/B98*100,1),"")</f>
        <v/>
      </c>
      <c r="F98" s="15" t="inlineStr">
        <is>
          <t>≤ nameplate FLA</t>
        </is>
      </c>
      <c r="G98" s="24">
        <f>IF(E98="","",IF(ABS(E98)&lt;=10,"✔ Accept","✘ Reject"))</f>
        <v/>
      </c>
      <c r="H98" s="15" t="inlineStr"/>
    </row>
    <row r="99" ht="16" customHeight="1">
      <c r="A99" s="16" t="inlineStr">
        <is>
          <t>Motor Voltage (L1-L2)</t>
        </is>
      </c>
      <c r="B99" s="17" t="inlineStr"/>
      <c r="C99" s="28" t="inlineStr"/>
      <c r="D99" s="17" t="inlineStr">
        <is>
          <t>VAC</t>
        </is>
      </c>
      <c r="E99" s="17">
        <f>IF(AND(B99&lt;&gt;"",C99&lt;&gt;"",B99&lt;&gt;0),ROUND((C99-B99)/B99*100,1),"")</f>
        <v/>
      </c>
      <c r="F99" s="17" t="inlineStr">
        <is>
          <t>±10% nameplate</t>
        </is>
      </c>
      <c r="G99" s="23">
        <f>IF(E99="","",IF(ABS(E99)&lt;=10,"✔ Accept","✘ Reject"))</f>
        <v/>
      </c>
      <c r="H99" s="17" t="inlineStr"/>
    </row>
    <row r="100" ht="16" customHeight="1">
      <c r="A100" s="14" t="inlineStr">
        <is>
          <t>Motor Voltage (L1-L3)</t>
        </is>
      </c>
      <c r="B100" s="15" t="inlineStr"/>
      <c r="C100" s="28" t="inlineStr"/>
      <c r="D100" s="15" t="inlineStr">
        <is>
          <t>VAC</t>
        </is>
      </c>
      <c r="E100" s="15" t="inlineStr"/>
      <c r="F100" s="15" t="inlineStr">
        <is>
          <t>±10% nameplate</t>
        </is>
      </c>
      <c r="G100" s="15" t="inlineStr"/>
      <c r="H100" s="15" t="inlineStr"/>
    </row>
    <row r="101" ht="16" customHeight="1">
      <c r="A101" s="16" t="inlineStr">
        <is>
          <t>Motor Voltage (L2-L3)</t>
        </is>
      </c>
      <c r="B101" s="17" t="inlineStr"/>
      <c r="C101" s="28" t="inlineStr"/>
      <c r="D101" s="17" t="inlineStr">
        <is>
          <t>VAC</t>
        </is>
      </c>
      <c r="E101" s="17" t="inlineStr"/>
      <c r="F101" s="17" t="inlineStr">
        <is>
          <t>±10% nameplate</t>
        </is>
      </c>
      <c r="G101" s="17" t="inlineStr"/>
      <c r="H101" s="17" t="inlineStr"/>
    </row>
    <row r="102" ht="16" customHeight="1">
      <c r="A102" s="14" t="inlineStr">
        <is>
          <t>Belt Drive Sheave Sizes (motor / fan)</t>
        </is>
      </c>
      <c r="B102" s="15" t="inlineStr"/>
      <c r="C102" s="28" t="inlineStr"/>
      <c r="D102" s="15" t="inlineStr">
        <is>
          <t>in.</t>
        </is>
      </c>
      <c r="E102" s="15" t="inlineStr"/>
      <c r="F102" s="15" t="inlineStr">
        <is>
          <t>Per design</t>
        </is>
      </c>
      <c r="G102" s="15" t="inlineStr"/>
      <c r="H102" s="15" t="inlineStr"/>
    </row>
    <row r="103" ht="16" customHeight="1">
      <c r="A103" s="16" t="inlineStr">
        <is>
          <t>VFD Output Frequency (if applicable)</t>
        </is>
      </c>
      <c r="B103" s="17" t="inlineStr"/>
      <c r="C103" s="28" t="inlineStr"/>
      <c r="D103" s="17" t="inlineStr">
        <is>
          <t>Hz</t>
        </is>
      </c>
      <c r="E103" s="17" t="inlineStr"/>
      <c r="F103" s="17" t="inlineStr">
        <is>
          <t>Per BAS cmd</t>
        </is>
      </c>
      <c r="G103" s="17" t="inlineStr"/>
      <c r="H103" s="17" t="inlineStr"/>
    </row>
    <row r="104" ht="16" customHeight="1">
      <c r="A104" s="14" t="inlineStr">
        <is>
          <t>Supply Air Temp (cooling mode)</t>
        </is>
      </c>
      <c r="B104" s="15" t="inlineStr"/>
      <c r="C104" s="28" t="inlineStr"/>
      <c r="D104" s="15" t="inlineStr">
        <is>
          <t>°F</t>
        </is>
      </c>
      <c r="E104" s="15" t="inlineStr"/>
      <c r="F104" s="15" t="inlineStr">
        <is>
          <t>Per design</t>
        </is>
      </c>
      <c r="G104" s="15" t="inlineStr"/>
      <c r="H104" s="15" t="inlineStr"/>
    </row>
    <row r="105" ht="16" customHeight="1">
      <c r="A105" s="16" t="inlineStr">
        <is>
          <t>Return Air Temp</t>
        </is>
      </c>
      <c r="B105" s="17" t="inlineStr"/>
      <c r="C105" s="28" t="inlineStr"/>
      <c r="D105" s="17" t="inlineStr">
        <is>
          <t>°F</t>
        </is>
      </c>
      <c r="E105" s="17" t="inlineStr"/>
      <c r="F105" s="17" t="inlineStr">
        <is>
          <t>Per design</t>
        </is>
      </c>
      <c r="G105" s="17" t="inlineStr"/>
      <c r="H105" s="17" t="inlineStr"/>
    </row>
    <row r="106" ht="16" customHeight="1">
      <c r="A106" s="14" t="inlineStr">
        <is>
          <t>Mixed Air Temp</t>
        </is>
      </c>
      <c r="B106" s="15" t="inlineStr"/>
      <c r="C106" s="28" t="inlineStr"/>
      <c r="D106" s="15" t="inlineStr">
        <is>
          <t>°F</t>
        </is>
      </c>
      <c r="E106" s="15" t="inlineStr"/>
      <c r="F106" s="15" t="inlineStr">
        <is>
          <t>Per design</t>
        </is>
      </c>
      <c r="G106" s="15" t="inlineStr"/>
      <c r="H106" s="15" t="inlineStr"/>
    </row>
    <row r="107" ht="16" customHeight="1">
      <c r="A107" s="16" t="inlineStr">
        <is>
          <t>Coil Delta-T (cooling)</t>
        </is>
      </c>
      <c r="B107" s="17" t="inlineStr"/>
      <c r="C107" s="28" t="inlineStr"/>
      <c r="D107" s="17" t="inlineStr">
        <is>
          <t>°F</t>
        </is>
      </c>
      <c r="E107" s="17" t="inlineStr"/>
      <c r="F107" s="17" t="inlineStr">
        <is>
          <t>Per design</t>
        </is>
      </c>
      <c r="G107" s="17" t="inlineStr"/>
      <c r="H107" s="17" t="inlineStr"/>
    </row>
    <row r="108" ht="6" customHeight="1"/>
    <row r="109" ht="6" customHeight="1">
      <c r="A109" s="3" t="n"/>
    </row>
    <row r="110" ht="18" customHeight="1">
      <c r="A110" s="22" t="inlineStr">
        <is>
          <t>Your HVAC Co.  •  HVAC Test &amp; Balance Report  •  Rogers, AR  •  (555) 867-5309  •  www.yourhvac.com  •  NEBB / AABC Certified</t>
        </is>
      </c>
    </row>
  </sheetData>
  <mergeCells count="12">
    <mergeCell ref="A67:H67"/>
    <mergeCell ref="A3:H3"/>
    <mergeCell ref="A109:H109"/>
    <mergeCell ref="A25:H25"/>
    <mergeCell ref="A24:H24"/>
    <mergeCell ref="A2:H2"/>
    <mergeCell ref="F1:H1"/>
    <mergeCell ref="A1:E1"/>
    <mergeCell ref="A5:H5"/>
    <mergeCell ref="A46:H46"/>
    <mergeCell ref="A110:H110"/>
    <mergeCell ref="A88:H88"/>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L117"/>
  <sheetViews>
    <sheetView showGridLines="0" workbookViewId="0">
      <selection activeCell="A1" sqref="A1"/>
    </sheetView>
  </sheetViews>
  <sheetFormatPr baseColWidth="8" defaultRowHeight="15"/>
  <cols>
    <col width="6" customWidth="1" min="1" max="1"/>
    <col width="22" customWidth="1" min="2" max="2"/>
    <col width="10" customWidth="1" min="3" max="3"/>
    <col width="10" customWidth="1" min="4" max="4"/>
    <col width="10" customWidth="1" min="5" max="5"/>
    <col width="10" customWidth="1" min="6" max="6"/>
    <col width="10" customWidth="1" min="7" max="7"/>
    <col width="12" customWidth="1" min="8" max="8"/>
    <col width="10" customWidth="1" min="9" max="9"/>
    <col width="10" customWidth="1" min="10" max="10"/>
    <col width="10" customWidth="1" min="11" max="11"/>
    <col width="10" customWidth="1" min="12" max="12"/>
  </cols>
  <sheetData>
    <row r="1" ht="30" customHeight="1">
      <c r="A1" s="1" t="inlineStr">
        <is>
          <t>Your HVAC Co.</t>
        </is>
      </c>
      <c r="F1" s="2" t="inlineStr">
        <is>
          <t>TERMINAL UNIT AIRFLOW SCHEDULE</t>
        </is>
      </c>
    </row>
    <row r="2" ht="6" customHeight="1">
      <c r="A2" s="3" t="n"/>
    </row>
    <row r="3" ht="16" customHeight="1">
      <c r="A3" s="4" t="inlineStr">
        <is>
          <t>HVAC Test &amp; Balance Report  •  Rogers, AR  •  (555) 867-5309  •  www.yourhvac.com  •  NEBB / AABC Certified TAB Agency</t>
        </is>
      </c>
    </row>
    <row r="4" ht="6" customHeight="1"/>
    <row r="5" ht="22" customHeight="1">
      <c r="A5" s="7" t="inlineStr">
        <is>
          <t xml:space="preserve">  🔲  SUPPLY AIR — DIFFUSERS, REGISTERS &amp; VAV BOXES  —  System: AHU-1</t>
        </is>
      </c>
      <c r="B5" s="8" t="n"/>
      <c r="C5" s="8" t="n"/>
      <c r="D5" s="8" t="n"/>
      <c r="E5" s="8" t="n"/>
      <c r="F5" s="8" t="n"/>
      <c r="G5" s="8" t="n"/>
      <c r="H5" s="8" t="n"/>
      <c r="I5" s="8" t="n"/>
      <c r="J5" s="8" t="n"/>
      <c r="K5" s="8" t="n"/>
      <c r="L5" s="8" t="n"/>
    </row>
    <row r="6" ht="16" customHeight="1">
      <c r="A6" s="13" t="inlineStr">
        <is>
          <t>Room / Zone</t>
        </is>
      </c>
      <c r="B6" s="13" t="inlineStr">
        <is>
          <t>Terminal Tag</t>
        </is>
      </c>
      <c r="C6" s="13" t="inlineStr">
        <is>
          <t>Terminal Type</t>
        </is>
      </c>
      <c r="D6" s="13" t="inlineStr">
        <is>
          <t>Design CFM</t>
        </is>
      </c>
      <c r="E6" s="13" t="inlineStr">
        <is>
          <t>1st Test CFM</t>
        </is>
      </c>
      <c r="F6" s="13" t="inlineStr">
        <is>
          <t>2nd Test CFM</t>
        </is>
      </c>
      <c r="G6" s="13" t="inlineStr">
        <is>
          <t>Final CFM</t>
        </is>
      </c>
      <c r="H6" s="13" t="inlineStr">
        <is>
          <t>% Dev. (Final)</t>
        </is>
      </c>
      <c r="I6" s="13" t="inlineStr">
        <is>
          <t>Pitot / Anem.</t>
        </is>
      </c>
      <c r="J6" s="13" t="inlineStr">
        <is>
          <t>Instrument #</t>
        </is>
      </c>
      <c r="K6" s="13" t="inlineStr">
        <is>
          <t>Status</t>
        </is>
      </c>
      <c r="L6" s="13" t="inlineStr">
        <is>
          <t>Notes</t>
        </is>
      </c>
    </row>
    <row r="7" ht="16" customHeight="1">
      <c r="A7" s="29" t="n"/>
      <c r="B7" s="17" t="n"/>
      <c r="C7" s="17" t="n"/>
      <c r="D7" s="17" t="n"/>
      <c r="E7" s="17" t="n"/>
      <c r="F7" s="17" t="n"/>
      <c r="G7" s="17" t="n"/>
      <c r="H7" s="17">
        <f>IF(AND(D7&lt;&gt;"",G7&lt;&gt;"",D7&lt;&gt;0),ROUND((G7-D7)/D7*100,1),"")</f>
        <v/>
      </c>
      <c r="I7" s="17" t="n"/>
      <c r="J7" s="17" t="n"/>
      <c r="K7" s="23">
        <f>IF(H7="","",IF(ABS(H7)&lt;=10,"✔ Accept","✘ Reject"))</f>
        <v/>
      </c>
      <c r="L7" s="17" t="n"/>
    </row>
    <row r="8" ht="16" customHeight="1">
      <c r="A8" s="30" t="n"/>
      <c r="B8" s="15" t="n"/>
      <c r="C8" s="15" t="n"/>
      <c r="D8" s="15" t="n"/>
      <c r="E8" s="15" t="n"/>
      <c r="F8" s="15" t="n"/>
      <c r="G8" s="15" t="n"/>
      <c r="H8" s="15">
        <f>IF(AND(D8&lt;&gt;"",G8&lt;&gt;"",D8&lt;&gt;0),ROUND((G8-D8)/D8*100,1),"")</f>
        <v/>
      </c>
      <c r="I8" s="15" t="n"/>
      <c r="J8" s="15" t="n"/>
      <c r="K8" s="24">
        <f>IF(H8="","",IF(ABS(H8)&lt;=10,"✔ Accept","✘ Reject"))</f>
        <v/>
      </c>
      <c r="L8" s="15" t="n"/>
    </row>
    <row r="9" ht="16" customHeight="1">
      <c r="A9" s="29" t="n"/>
      <c r="B9" s="17" t="n"/>
      <c r="C9" s="17" t="n"/>
      <c r="D9" s="17" t="n"/>
      <c r="E9" s="17" t="n"/>
      <c r="F9" s="17" t="n"/>
      <c r="G9" s="17" t="n"/>
      <c r="H9" s="17">
        <f>IF(AND(D9&lt;&gt;"",G9&lt;&gt;"",D9&lt;&gt;0),ROUND((G9-D9)/D9*100,1),"")</f>
        <v/>
      </c>
      <c r="I9" s="17" t="n"/>
      <c r="J9" s="17" t="n"/>
      <c r="K9" s="23">
        <f>IF(H9="","",IF(ABS(H9)&lt;=10,"✔ Accept","✘ Reject"))</f>
        <v/>
      </c>
      <c r="L9" s="17" t="n"/>
    </row>
    <row r="10" ht="16" customHeight="1">
      <c r="A10" s="30" t="n"/>
      <c r="B10" s="15" t="n"/>
      <c r="C10" s="15" t="n"/>
      <c r="D10" s="15" t="n"/>
      <c r="E10" s="15" t="n"/>
      <c r="F10" s="15" t="n"/>
      <c r="G10" s="15" t="n"/>
      <c r="H10" s="15">
        <f>IF(AND(D10&lt;&gt;"",G10&lt;&gt;"",D10&lt;&gt;0),ROUND((G10-D10)/D10*100,1),"")</f>
        <v/>
      </c>
      <c r="I10" s="15" t="n"/>
      <c r="J10" s="15" t="n"/>
      <c r="K10" s="24">
        <f>IF(H10="","",IF(ABS(H10)&lt;=10,"✔ Accept","✘ Reject"))</f>
        <v/>
      </c>
      <c r="L10" s="15" t="n"/>
    </row>
    <row r="11" ht="16" customHeight="1">
      <c r="A11" s="29" t="n"/>
      <c r="B11" s="17" t="n"/>
      <c r="C11" s="17" t="n"/>
      <c r="D11" s="17" t="n"/>
      <c r="E11" s="17" t="n"/>
      <c r="F11" s="17" t="n"/>
      <c r="G11" s="17" t="n"/>
      <c r="H11" s="17">
        <f>IF(AND(D11&lt;&gt;"",G11&lt;&gt;"",D11&lt;&gt;0),ROUND((G11-D11)/D11*100,1),"")</f>
        <v/>
      </c>
      <c r="I11" s="17" t="n"/>
      <c r="J11" s="17" t="n"/>
      <c r="K11" s="23">
        <f>IF(H11="","",IF(ABS(H11)&lt;=10,"✔ Accept","✘ Reject"))</f>
        <v/>
      </c>
      <c r="L11" s="17" t="n"/>
    </row>
    <row r="12" ht="16" customHeight="1">
      <c r="A12" s="30" t="n"/>
      <c r="B12" s="15" t="n"/>
      <c r="C12" s="15" t="n"/>
      <c r="D12" s="15" t="n"/>
      <c r="E12" s="15" t="n"/>
      <c r="F12" s="15" t="n"/>
      <c r="G12" s="15" t="n"/>
      <c r="H12" s="15">
        <f>IF(AND(D12&lt;&gt;"",G12&lt;&gt;"",D12&lt;&gt;0),ROUND((G12-D12)/D12*100,1),"")</f>
        <v/>
      </c>
      <c r="I12" s="15" t="n"/>
      <c r="J12" s="15" t="n"/>
      <c r="K12" s="24">
        <f>IF(H12="","",IF(ABS(H12)&lt;=10,"✔ Accept","✘ Reject"))</f>
        <v/>
      </c>
      <c r="L12" s="15" t="n"/>
    </row>
    <row r="13" ht="16" customHeight="1">
      <c r="A13" s="29" t="n"/>
      <c r="B13" s="17" t="n"/>
      <c r="C13" s="17" t="n"/>
      <c r="D13" s="17" t="n"/>
      <c r="E13" s="17" t="n"/>
      <c r="F13" s="17" t="n"/>
      <c r="G13" s="17" t="n"/>
      <c r="H13" s="17">
        <f>IF(AND(D13&lt;&gt;"",G13&lt;&gt;"",D13&lt;&gt;0),ROUND((G13-D13)/D13*100,1),"")</f>
        <v/>
      </c>
      <c r="I13" s="17" t="n"/>
      <c r="J13" s="17" t="n"/>
      <c r="K13" s="23">
        <f>IF(H13="","",IF(ABS(H13)&lt;=10,"✔ Accept","✘ Reject"))</f>
        <v/>
      </c>
      <c r="L13" s="17" t="n"/>
    </row>
    <row r="14" ht="16" customHeight="1">
      <c r="A14" s="30" t="n"/>
      <c r="B14" s="15" t="n"/>
      <c r="C14" s="15" t="n"/>
      <c r="D14" s="15" t="n"/>
      <c r="E14" s="15" t="n"/>
      <c r="F14" s="15" t="n"/>
      <c r="G14" s="15" t="n"/>
      <c r="H14" s="15">
        <f>IF(AND(D14&lt;&gt;"",G14&lt;&gt;"",D14&lt;&gt;0),ROUND((G14-D14)/D14*100,1),"")</f>
        <v/>
      </c>
      <c r="I14" s="15" t="n"/>
      <c r="J14" s="15" t="n"/>
      <c r="K14" s="24">
        <f>IF(H14="","",IF(ABS(H14)&lt;=10,"✔ Accept","✘ Reject"))</f>
        <v/>
      </c>
      <c r="L14" s="15" t="n"/>
    </row>
    <row r="15" ht="16" customHeight="1">
      <c r="A15" s="29" t="n"/>
      <c r="B15" s="17" t="n"/>
      <c r="C15" s="17" t="n"/>
      <c r="D15" s="17" t="n"/>
      <c r="E15" s="17" t="n"/>
      <c r="F15" s="17" t="n"/>
      <c r="G15" s="17" t="n"/>
      <c r="H15" s="17">
        <f>IF(AND(D15&lt;&gt;"",G15&lt;&gt;"",D15&lt;&gt;0),ROUND((G15-D15)/D15*100,1),"")</f>
        <v/>
      </c>
      <c r="I15" s="17" t="n"/>
      <c r="J15" s="17" t="n"/>
      <c r="K15" s="23">
        <f>IF(H15="","",IF(ABS(H15)&lt;=10,"✔ Accept","✘ Reject"))</f>
        <v/>
      </c>
      <c r="L15" s="17" t="n"/>
    </row>
    <row r="16" ht="16" customHeight="1">
      <c r="A16" s="30" t="n"/>
      <c r="B16" s="15" t="n"/>
      <c r="C16" s="15" t="n"/>
      <c r="D16" s="15" t="n"/>
      <c r="E16" s="15" t="n"/>
      <c r="F16" s="15" t="n"/>
      <c r="G16" s="15" t="n"/>
      <c r="H16" s="15">
        <f>IF(AND(D16&lt;&gt;"",G16&lt;&gt;"",D16&lt;&gt;0),ROUND((G16-D16)/D16*100,1),"")</f>
        <v/>
      </c>
      <c r="I16" s="15" t="n"/>
      <c r="J16" s="15" t="n"/>
      <c r="K16" s="24">
        <f>IF(H16="","",IF(ABS(H16)&lt;=10,"✔ Accept","✘ Reject"))</f>
        <v/>
      </c>
      <c r="L16" s="15" t="n"/>
    </row>
    <row r="17" ht="16" customHeight="1">
      <c r="A17" s="29" t="n"/>
      <c r="B17" s="17" t="n"/>
      <c r="C17" s="17" t="n"/>
      <c r="D17" s="17" t="n"/>
      <c r="E17" s="17" t="n"/>
      <c r="F17" s="17" t="n"/>
      <c r="G17" s="17" t="n"/>
      <c r="H17" s="17">
        <f>IF(AND(D17&lt;&gt;"",G17&lt;&gt;"",D17&lt;&gt;0),ROUND((G17-D17)/D17*100,1),"")</f>
        <v/>
      </c>
      <c r="I17" s="17" t="n"/>
      <c r="J17" s="17" t="n"/>
      <c r="K17" s="23">
        <f>IF(H17="","",IF(ABS(H17)&lt;=10,"✔ Accept","✘ Reject"))</f>
        <v/>
      </c>
      <c r="L17" s="17" t="n"/>
    </row>
    <row r="18" ht="16" customHeight="1">
      <c r="A18" s="30" t="n"/>
      <c r="B18" s="15" t="n"/>
      <c r="C18" s="15" t="n"/>
      <c r="D18" s="15" t="n"/>
      <c r="E18" s="15" t="n"/>
      <c r="F18" s="15" t="n"/>
      <c r="G18" s="15" t="n"/>
      <c r="H18" s="15">
        <f>IF(AND(D18&lt;&gt;"",G18&lt;&gt;"",D18&lt;&gt;0),ROUND((G18-D18)/D18*100,1),"")</f>
        <v/>
      </c>
      <c r="I18" s="15" t="n"/>
      <c r="J18" s="15" t="n"/>
      <c r="K18" s="24">
        <f>IF(H18="","",IF(ABS(H18)&lt;=10,"✔ Accept","✘ Reject"))</f>
        <v/>
      </c>
      <c r="L18" s="15" t="n"/>
    </row>
    <row r="19" ht="16" customHeight="1">
      <c r="A19" s="29" t="n"/>
      <c r="B19" s="17" t="n"/>
      <c r="C19" s="17" t="n"/>
      <c r="D19" s="17" t="n"/>
      <c r="E19" s="17" t="n"/>
      <c r="F19" s="17" t="n"/>
      <c r="G19" s="17" t="n"/>
      <c r="H19" s="17">
        <f>IF(AND(D19&lt;&gt;"",G19&lt;&gt;"",D19&lt;&gt;0),ROUND((G19-D19)/D19*100,1),"")</f>
        <v/>
      </c>
      <c r="I19" s="17" t="n"/>
      <c r="J19" s="17" t="n"/>
      <c r="K19" s="23">
        <f>IF(H19="","",IF(ABS(H19)&lt;=10,"✔ Accept","✘ Reject"))</f>
        <v/>
      </c>
      <c r="L19" s="17" t="n"/>
    </row>
    <row r="20" ht="16" customHeight="1">
      <c r="A20" s="30" t="n"/>
      <c r="B20" s="15" t="n"/>
      <c r="C20" s="15" t="n"/>
      <c r="D20" s="15" t="n"/>
      <c r="E20" s="15" t="n"/>
      <c r="F20" s="15" t="n"/>
      <c r="G20" s="15" t="n"/>
      <c r="H20" s="15">
        <f>IF(AND(D20&lt;&gt;"",G20&lt;&gt;"",D20&lt;&gt;0),ROUND((G20-D20)/D20*100,1),"")</f>
        <v/>
      </c>
      <c r="I20" s="15" t="n"/>
      <c r="J20" s="15" t="n"/>
      <c r="K20" s="24">
        <f>IF(H20="","",IF(ABS(H20)&lt;=10,"✔ Accept","✘ Reject"))</f>
        <v/>
      </c>
      <c r="L20" s="15" t="n"/>
    </row>
    <row r="21" ht="16" customHeight="1">
      <c r="A21" s="29" t="n"/>
      <c r="B21" s="17" t="n"/>
      <c r="C21" s="17" t="n"/>
      <c r="D21" s="17" t="n"/>
      <c r="E21" s="17" t="n"/>
      <c r="F21" s="17" t="n"/>
      <c r="G21" s="17" t="n"/>
      <c r="H21" s="17">
        <f>IF(AND(D21&lt;&gt;"",G21&lt;&gt;"",D21&lt;&gt;0),ROUND((G21-D21)/D21*100,1),"")</f>
        <v/>
      </c>
      <c r="I21" s="17" t="n"/>
      <c r="J21" s="17" t="n"/>
      <c r="K21" s="23">
        <f>IF(H21="","",IF(ABS(H21)&lt;=10,"✔ Accept","✘ Reject"))</f>
        <v/>
      </c>
      <c r="L21" s="17" t="n"/>
    </row>
    <row r="22" ht="16" customHeight="1">
      <c r="A22" s="30" t="n"/>
      <c r="B22" s="15" t="n"/>
      <c r="C22" s="15" t="n"/>
      <c r="D22" s="15" t="n"/>
      <c r="E22" s="15" t="n"/>
      <c r="F22" s="15" t="n"/>
      <c r="G22" s="15" t="n"/>
      <c r="H22" s="15">
        <f>IF(AND(D22&lt;&gt;"",G22&lt;&gt;"",D22&lt;&gt;0),ROUND((G22-D22)/D22*100,1),"")</f>
        <v/>
      </c>
      <c r="I22" s="15" t="n"/>
      <c r="J22" s="15" t="n"/>
      <c r="K22" s="24">
        <f>IF(H22="","",IF(ABS(H22)&lt;=10,"✔ Accept","✘ Reject"))</f>
        <v/>
      </c>
      <c r="L22" s="15" t="n"/>
    </row>
    <row r="23" ht="16" customHeight="1">
      <c r="A23" s="29" t="n"/>
      <c r="B23" s="17" t="n"/>
      <c r="C23" s="17" t="n"/>
      <c r="D23" s="17" t="n"/>
      <c r="E23" s="17" t="n"/>
      <c r="F23" s="17" t="n"/>
      <c r="G23" s="17" t="n"/>
      <c r="H23" s="17">
        <f>IF(AND(D23&lt;&gt;"",G23&lt;&gt;"",D23&lt;&gt;0),ROUND((G23-D23)/D23*100,1),"")</f>
        <v/>
      </c>
      <c r="I23" s="17" t="n"/>
      <c r="J23" s="17" t="n"/>
      <c r="K23" s="23">
        <f>IF(H23="","",IF(ABS(H23)&lt;=10,"✔ Accept","✘ Reject"))</f>
        <v/>
      </c>
      <c r="L23" s="17" t="n"/>
    </row>
    <row r="24" ht="16" customHeight="1">
      <c r="A24" s="30" t="n"/>
      <c r="B24" s="15" t="n"/>
      <c r="C24" s="15" t="n"/>
      <c r="D24" s="15" t="n"/>
      <c r="E24" s="15" t="n"/>
      <c r="F24" s="15" t="n"/>
      <c r="G24" s="15" t="n"/>
      <c r="H24" s="15">
        <f>IF(AND(D24&lt;&gt;"",G24&lt;&gt;"",D24&lt;&gt;0),ROUND((G24-D24)/D24*100,1),"")</f>
        <v/>
      </c>
      <c r="I24" s="15" t="n"/>
      <c r="J24" s="15" t="n"/>
      <c r="K24" s="24">
        <f>IF(H24="","",IF(ABS(H24)&lt;=10,"✔ Accept","✘ Reject"))</f>
        <v/>
      </c>
      <c r="L24" s="15" t="n"/>
    </row>
    <row r="25" ht="16" customHeight="1">
      <c r="A25" s="29" t="n"/>
      <c r="B25" s="17" t="n"/>
      <c r="C25" s="17" t="n"/>
      <c r="D25" s="17" t="n"/>
      <c r="E25" s="17" t="n"/>
      <c r="F25" s="17" t="n"/>
      <c r="G25" s="17" t="n"/>
      <c r="H25" s="17">
        <f>IF(AND(D25&lt;&gt;"",G25&lt;&gt;"",D25&lt;&gt;0),ROUND((G25-D25)/D25*100,1),"")</f>
        <v/>
      </c>
      <c r="I25" s="17" t="n"/>
      <c r="J25" s="17" t="n"/>
      <c r="K25" s="23">
        <f>IF(H25="","",IF(ABS(H25)&lt;=10,"✔ Accept","✘ Reject"))</f>
        <v/>
      </c>
      <c r="L25" s="17" t="n"/>
    </row>
    <row r="26" ht="16" customHeight="1">
      <c r="A26" s="30" t="n"/>
      <c r="B26" s="15" t="n"/>
      <c r="C26" s="15" t="n"/>
      <c r="D26" s="15" t="n"/>
      <c r="E26" s="15" t="n"/>
      <c r="F26" s="15" t="n"/>
      <c r="G26" s="15" t="n"/>
      <c r="H26" s="15">
        <f>IF(AND(D26&lt;&gt;"",G26&lt;&gt;"",D26&lt;&gt;0),ROUND((G26-D26)/D26*100,1),"")</f>
        <v/>
      </c>
      <c r="I26" s="15" t="n"/>
      <c r="J26" s="15" t="n"/>
      <c r="K26" s="24">
        <f>IF(H26="","",IF(ABS(H26)&lt;=10,"✔ Accept","✘ Reject"))</f>
        <v/>
      </c>
      <c r="L26" s="15" t="n"/>
    </row>
    <row r="27" ht="16" customHeight="1">
      <c r="A27" s="29" t="n"/>
      <c r="B27" s="17" t="n"/>
      <c r="C27" s="17" t="n"/>
      <c r="D27" s="17" t="n"/>
      <c r="E27" s="17" t="n"/>
      <c r="F27" s="17" t="n"/>
      <c r="G27" s="17" t="n"/>
      <c r="H27" s="17">
        <f>IF(AND(D27&lt;&gt;"",G27&lt;&gt;"",D27&lt;&gt;0),ROUND((G27-D27)/D27*100,1),"")</f>
        <v/>
      </c>
      <c r="I27" s="17" t="n"/>
      <c r="J27" s="17" t="n"/>
      <c r="K27" s="23">
        <f>IF(H27="","",IF(ABS(H27)&lt;=10,"✔ Accept","✘ Reject"))</f>
        <v/>
      </c>
      <c r="L27" s="17" t="n"/>
    </row>
    <row r="28" ht="16" customHeight="1">
      <c r="A28" s="30" t="n"/>
      <c r="B28" s="15" t="n"/>
      <c r="C28" s="15" t="n"/>
      <c r="D28" s="15" t="n"/>
      <c r="E28" s="15" t="n"/>
      <c r="F28" s="15" t="n"/>
      <c r="G28" s="15" t="n"/>
      <c r="H28" s="15">
        <f>IF(AND(D28&lt;&gt;"",G28&lt;&gt;"",D28&lt;&gt;0),ROUND((G28-D28)/D28*100,1),"")</f>
        <v/>
      </c>
      <c r="I28" s="15" t="n"/>
      <c r="J28" s="15" t="n"/>
      <c r="K28" s="24">
        <f>IF(H28="","",IF(ABS(H28)&lt;=10,"✔ Accept","✘ Reject"))</f>
        <v/>
      </c>
      <c r="L28" s="15" t="n"/>
    </row>
    <row r="29" ht="16" customHeight="1">
      <c r="A29" s="29" t="n"/>
      <c r="B29" s="17" t="n"/>
      <c r="C29" s="17" t="n"/>
      <c r="D29" s="17" t="n"/>
      <c r="E29" s="17" t="n"/>
      <c r="F29" s="17" t="n"/>
      <c r="G29" s="17" t="n"/>
      <c r="H29" s="17">
        <f>IF(AND(D29&lt;&gt;"",G29&lt;&gt;"",D29&lt;&gt;0),ROUND((G29-D29)/D29*100,1),"")</f>
        <v/>
      </c>
      <c r="I29" s="17" t="n"/>
      <c r="J29" s="17" t="n"/>
      <c r="K29" s="23">
        <f>IF(H29="","",IF(ABS(H29)&lt;=10,"✔ Accept","✘ Reject"))</f>
        <v/>
      </c>
      <c r="L29" s="17" t="n"/>
    </row>
    <row r="30" ht="16" customHeight="1">
      <c r="A30" s="30" t="n"/>
      <c r="B30" s="15" t="n"/>
      <c r="C30" s="15" t="n"/>
      <c r="D30" s="15" t="n"/>
      <c r="E30" s="15" t="n"/>
      <c r="F30" s="15" t="n"/>
      <c r="G30" s="15" t="n"/>
      <c r="H30" s="15">
        <f>IF(AND(D30&lt;&gt;"",G30&lt;&gt;"",D30&lt;&gt;0),ROUND((G30-D30)/D30*100,1),"")</f>
        <v/>
      </c>
      <c r="I30" s="15" t="n"/>
      <c r="J30" s="15" t="n"/>
      <c r="K30" s="24">
        <f>IF(H30="","",IF(ABS(H30)&lt;=10,"✔ Accept","✘ Reject"))</f>
        <v/>
      </c>
      <c r="L30" s="15" t="n"/>
    </row>
    <row r="31" ht="16" customHeight="1">
      <c r="A31" s="29" t="n"/>
      <c r="B31" s="17" t="n"/>
      <c r="C31" s="17" t="n"/>
      <c r="D31" s="17" t="n"/>
      <c r="E31" s="17" t="n"/>
      <c r="F31" s="17" t="n"/>
      <c r="G31" s="17" t="n"/>
      <c r="H31" s="17">
        <f>IF(AND(D31&lt;&gt;"",G31&lt;&gt;"",D31&lt;&gt;0),ROUND((G31-D31)/D31*100,1),"")</f>
        <v/>
      </c>
      <c r="I31" s="17" t="n"/>
      <c r="J31" s="17" t="n"/>
      <c r="K31" s="23">
        <f>IF(H31="","",IF(ABS(H31)&lt;=10,"✔ Accept","✘ Reject"))</f>
        <v/>
      </c>
      <c r="L31" s="17" t="n"/>
    </row>
    <row r="32" ht="16" customHeight="1">
      <c r="A32" s="30" t="n"/>
      <c r="B32" s="15" t="n"/>
      <c r="C32" s="15" t="n"/>
      <c r="D32" s="15" t="n"/>
      <c r="E32" s="15" t="n"/>
      <c r="F32" s="15" t="n"/>
      <c r="G32" s="15" t="n"/>
      <c r="H32" s="15">
        <f>IF(AND(D32&lt;&gt;"",G32&lt;&gt;"",D32&lt;&gt;0),ROUND((G32-D32)/D32*100,1),"")</f>
        <v/>
      </c>
      <c r="I32" s="15" t="n"/>
      <c r="J32" s="15" t="n"/>
      <c r="K32" s="24">
        <f>IF(H32="","",IF(ABS(H32)&lt;=10,"✔ Accept","✘ Reject"))</f>
        <v/>
      </c>
      <c r="L32" s="15" t="n"/>
    </row>
    <row r="33" ht="16" customHeight="1">
      <c r="A33" s="29" t="n"/>
      <c r="B33" s="17" t="n"/>
      <c r="C33" s="17" t="n"/>
      <c r="D33" s="17" t="n"/>
      <c r="E33" s="17" t="n"/>
      <c r="F33" s="17" t="n"/>
      <c r="G33" s="17" t="n"/>
      <c r="H33" s="17">
        <f>IF(AND(D33&lt;&gt;"",G33&lt;&gt;"",D33&lt;&gt;0),ROUND((G33-D33)/D33*100,1),"")</f>
        <v/>
      </c>
      <c r="I33" s="17" t="n"/>
      <c r="J33" s="17" t="n"/>
      <c r="K33" s="23">
        <f>IF(H33="","",IF(ABS(H33)&lt;=10,"✔ Accept","✘ Reject"))</f>
        <v/>
      </c>
      <c r="L33" s="17" t="n"/>
    </row>
    <row r="34" ht="16" customHeight="1">
      <c r="A34" s="30" t="n"/>
      <c r="B34" s="15" t="n"/>
      <c r="C34" s="15" t="n"/>
      <c r="D34" s="15" t="n"/>
      <c r="E34" s="15" t="n"/>
      <c r="F34" s="15" t="n"/>
      <c r="G34" s="15" t="n"/>
      <c r="H34" s="15">
        <f>IF(AND(D34&lt;&gt;"",G34&lt;&gt;"",D34&lt;&gt;0),ROUND((G34-D34)/D34*100,1),"")</f>
        <v/>
      </c>
      <c r="I34" s="15" t="n"/>
      <c r="J34" s="15" t="n"/>
      <c r="K34" s="24">
        <f>IF(H34="","",IF(ABS(H34)&lt;=10,"✔ Accept","✘ Reject"))</f>
        <v/>
      </c>
      <c r="L34" s="15" t="n"/>
    </row>
    <row r="35" ht="16" customHeight="1">
      <c r="A35" s="29" t="n"/>
      <c r="B35" s="17" t="n"/>
      <c r="C35" s="17" t="n"/>
      <c r="D35" s="17" t="n"/>
      <c r="E35" s="17" t="n"/>
      <c r="F35" s="17" t="n"/>
      <c r="G35" s="17" t="n"/>
      <c r="H35" s="17">
        <f>IF(AND(D35&lt;&gt;"",G35&lt;&gt;"",D35&lt;&gt;0),ROUND((G35-D35)/D35*100,1),"")</f>
        <v/>
      </c>
      <c r="I35" s="17" t="n"/>
      <c r="J35" s="17" t="n"/>
      <c r="K35" s="23">
        <f>IF(H35="","",IF(ABS(H35)&lt;=10,"✔ Accept","✘ Reject"))</f>
        <v/>
      </c>
      <c r="L35" s="17" t="n"/>
    </row>
    <row r="36" ht="16" customHeight="1">
      <c r="A36" s="30" t="n"/>
      <c r="B36" s="15" t="n"/>
      <c r="C36" s="15" t="n"/>
      <c r="D36" s="15" t="n"/>
      <c r="E36" s="15" t="n"/>
      <c r="F36" s="15" t="n"/>
      <c r="G36" s="15" t="n"/>
      <c r="H36" s="15">
        <f>IF(AND(D36&lt;&gt;"",G36&lt;&gt;"",D36&lt;&gt;0),ROUND((G36-D36)/D36*100,1),"")</f>
        <v/>
      </c>
      <c r="I36" s="15" t="n"/>
      <c r="J36" s="15" t="n"/>
      <c r="K36" s="24">
        <f>IF(H36="","",IF(ABS(H36)&lt;=10,"✔ Accept","✘ Reject"))</f>
        <v/>
      </c>
      <c r="L36" s="15" t="n"/>
    </row>
    <row r="37" ht="16" customHeight="1">
      <c r="A37" s="29" t="n"/>
      <c r="B37" s="17" t="n"/>
      <c r="C37" s="17" t="n"/>
      <c r="D37" s="17" t="n"/>
      <c r="E37" s="17" t="n"/>
      <c r="F37" s="17" t="n"/>
      <c r="G37" s="17" t="n"/>
      <c r="H37" s="17">
        <f>IF(AND(D37&lt;&gt;"",G37&lt;&gt;"",D37&lt;&gt;0),ROUND((G37-D37)/D37*100,1),"")</f>
        <v/>
      </c>
      <c r="I37" s="17" t="n"/>
      <c r="J37" s="17" t="n"/>
      <c r="K37" s="23">
        <f>IF(H37="","",IF(ABS(H37)&lt;=10,"✔ Accept","✘ Reject"))</f>
        <v/>
      </c>
      <c r="L37" s="17" t="n"/>
    </row>
    <row r="38" ht="16" customHeight="1">
      <c r="A38" s="30" t="n"/>
      <c r="B38" s="15" t="n"/>
      <c r="C38" s="15" t="n"/>
      <c r="D38" s="15" t="n"/>
      <c r="E38" s="15" t="n"/>
      <c r="F38" s="15" t="n"/>
      <c r="G38" s="15" t="n"/>
      <c r="H38" s="15">
        <f>IF(AND(D38&lt;&gt;"",G38&lt;&gt;"",D38&lt;&gt;0),ROUND((G38-D38)/D38*100,1),"")</f>
        <v/>
      </c>
      <c r="I38" s="15" t="n"/>
      <c r="J38" s="15" t="n"/>
      <c r="K38" s="24">
        <f>IF(H38="","",IF(ABS(H38)&lt;=10,"✔ Accept","✘ Reject"))</f>
        <v/>
      </c>
      <c r="L38" s="15" t="n"/>
    </row>
    <row r="39" ht="16" customHeight="1">
      <c r="A39" s="29" t="n"/>
      <c r="B39" s="17" t="n"/>
      <c r="C39" s="17" t="n"/>
      <c r="D39" s="17" t="n"/>
      <c r="E39" s="17" t="n"/>
      <c r="F39" s="17" t="n"/>
      <c r="G39" s="17" t="n"/>
      <c r="H39" s="17">
        <f>IF(AND(D39&lt;&gt;"",G39&lt;&gt;"",D39&lt;&gt;0),ROUND((G39-D39)/D39*100,1),"")</f>
        <v/>
      </c>
      <c r="I39" s="17" t="n"/>
      <c r="J39" s="17" t="n"/>
      <c r="K39" s="23">
        <f>IF(H39="","",IF(ABS(H39)&lt;=10,"✔ Accept","✘ Reject"))</f>
        <v/>
      </c>
      <c r="L39" s="17" t="n"/>
    </row>
    <row r="40" ht="16" customHeight="1">
      <c r="A40" s="30" t="n"/>
      <c r="B40" s="15" t="n"/>
      <c r="C40" s="15" t="n"/>
      <c r="D40" s="15" t="n"/>
      <c r="E40" s="15" t="n"/>
      <c r="F40" s="15" t="n"/>
      <c r="G40" s="15" t="n"/>
      <c r="H40" s="15">
        <f>IF(AND(D40&lt;&gt;"",G40&lt;&gt;"",D40&lt;&gt;0),ROUND((G40-D40)/D40*100,1),"")</f>
        <v/>
      </c>
      <c r="I40" s="15" t="n"/>
      <c r="J40" s="15" t="n"/>
      <c r="K40" s="24">
        <f>IF(H40="","",IF(ABS(H40)&lt;=10,"✔ Accept","✘ Reject"))</f>
        <v/>
      </c>
      <c r="L40" s="15" t="n"/>
    </row>
    <row r="41" ht="16" customHeight="1">
      <c r="A41" s="29" t="n"/>
      <c r="B41" s="17" t="n"/>
      <c r="C41" s="17" t="n"/>
      <c r="D41" s="17" t="n"/>
      <c r="E41" s="17" t="n"/>
      <c r="F41" s="17" t="n"/>
      <c r="G41" s="17" t="n"/>
      <c r="H41" s="17">
        <f>IF(AND(D41&lt;&gt;"",G41&lt;&gt;"",D41&lt;&gt;0),ROUND((G41-D41)/D41*100,1),"")</f>
        <v/>
      </c>
      <c r="I41" s="17" t="n"/>
      <c r="J41" s="17" t="n"/>
      <c r="K41" s="23">
        <f>IF(H41="","",IF(ABS(H41)&lt;=10,"✔ Accept","✘ Reject"))</f>
        <v/>
      </c>
      <c r="L41" s="17" t="n"/>
    </row>
    <row r="42" ht="18" customHeight="1">
      <c r="A42" s="31" t="inlineStr">
        <is>
          <t>SYSTEM TOTAL — AHU-1</t>
        </is>
      </c>
      <c r="D42" s="32">
        <f>IFERROR(SUM(D7:D41),"")</f>
        <v/>
      </c>
      <c r="E42" s="32">
        <f>IFERROR(SUM(E7:E41),"")</f>
        <v/>
      </c>
      <c r="F42" s="32">
        <f>IFERROR(SUM(F7:F41),"")</f>
        <v/>
      </c>
      <c r="G42" s="32">
        <f>IFERROR(SUM(G7:G41),"")</f>
        <v/>
      </c>
      <c r="H42" s="33">
        <f>IF(AND(D42&lt;&gt;"",G42&lt;&gt;"",D42&lt;&gt;0),ROUND((G42-D42)/D42*100,1),"")</f>
        <v/>
      </c>
      <c r="I42" s="34" t="n"/>
      <c r="J42" s="34" t="n"/>
      <c r="K42" s="34" t="n"/>
      <c r="L42" s="34" t="n"/>
    </row>
    <row r="43" ht="6" customHeight="1"/>
    <row r="44" ht="22" customHeight="1">
      <c r="A44" s="7" t="inlineStr">
        <is>
          <t xml:space="preserve">  🔲  SUPPLY AIR — DIFFUSERS, REGISTERS &amp; VAV BOXES  —  System: AHU-2 / RTU-1</t>
        </is>
      </c>
      <c r="B44" s="8" t="n"/>
      <c r="C44" s="8" t="n"/>
      <c r="D44" s="8" t="n"/>
      <c r="E44" s="8" t="n"/>
      <c r="F44" s="8" t="n"/>
      <c r="G44" s="8" t="n"/>
      <c r="H44" s="8" t="n"/>
      <c r="I44" s="8" t="n"/>
      <c r="J44" s="8" t="n"/>
      <c r="K44" s="8" t="n"/>
      <c r="L44" s="8" t="n"/>
    </row>
    <row r="45" ht="16" customHeight="1">
      <c r="A45" s="13" t="inlineStr">
        <is>
          <t>Room / Zone</t>
        </is>
      </c>
      <c r="B45" s="13" t="inlineStr">
        <is>
          <t>Terminal Tag</t>
        </is>
      </c>
      <c r="C45" s="13" t="inlineStr">
        <is>
          <t>Terminal Type</t>
        </is>
      </c>
      <c r="D45" s="13" t="inlineStr">
        <is>
          <t>Design CFM</t>
        </is>
      </c>
      <c r="E45" s="13" t="inlineStr">
        <is>
          <t>1st Test CFM</t>
        </is>
      </c>
      <c r="F45" s="13" t="inlineStr">
        <is>
          <t>2nd Test CFM</t>
        </is>
      </c>
      <c r="G45" s="13" t="inlineStr">
        <is>
          <t>Final CFM</t>
        </is>
      </c>
      <c r="H45" s="13" t="inlineStr">
        <is>
          <t>% Dev. (Final)</t>
        </is>
      </c>
      <c r="I45" s="13" t="inlineStr">
        <is>
          <t>Pitot / Anem.</t>
        </is>
      </c>
      <c r="J45" s="13" t="inlineStr">
        <is>
          <t>Instrument #</t>
        </is>
      </c>
      <c r="K45" s="13" t="inlineStr">
        <is>
          <t>Status</t>
        </is>
      </c>
      <c r="L45" s="13" t="inlineStr">
        <is>
          <t>Notes</t>
        </is>
      </c>
    </row>
    <row r="46" ht="16" customHeight="1">
      <c r="A46" s="29" t="n"/>
      <c r="B46" s="17" t="n"/>
      <c r="C46" s="17" t="n"/>
      <c r="D46" s="17" t="n"/>
      <c r="E46" s="17" t="n"/>
      <c r="F46" s="17" t="n"/>
      <c r="G46" s="17" t="n"/>
      <c r="H46" s="17">
        <f>IF(AND(D46&lt;&gt;"",G46&lt;&gt;"",D46&lt;&gt;0),ROUND((G46-D46)/D46*100,1),"")</f>
        <v/>
      </c>
      <c r="I46" s="17" t="n"/>
      <c r="J46" s="17" t="n"/>
      <c r="K46" s="23">
        <f>IF(H46="","",IF(ABS(H46)&lt;=10,"✔ Accept","✘ Reject"))</f>
        <v/>
      </c>
      <c r="L46" s="17" t="n"/>
    </row>
    <row r="47" ht="16" customHeight="1">
      <c r="A47" s="30" t="n"/>
      <c r="B47" s="15" t="n"/>
      <c r="C47" s="15" t="n"/>
      <c r="D47" s="15" t="n"/>
      <c r="E47" s="15" t="n"/>
      <c r="F47" s="15" t="n"/>
      <c r="G47" s="15" t="n"/>
      <c r="H47" s="15">
        <f>IF(AND(D47&lt;&gt;"",G47&lt;&gt;"",D47&lt;&gt;0),ROUND((G47-D47)/D47*100,1),"")</f>
        <v/>
      </c>
      <c r="I47" s="15" t="n"/>
      <c r="J47" s="15" t="n"/>
      <c r="K47" s="24">
        <f>IF(H47="","",IF(ABS(H47)&lt;=10,"✔ Accept","✘ Reject"))</f>
        <v/>
      </c>
      <c r="L47" s="15" t="n"/>
    </row>
    <row r="48" ht="16" customHeight="1">
      <c r="A48" s="29" t="n"/>
      <c r="B48" s="17" t="n"/>
      <c r="C48" s="17" t="n"/>
      <c r="D48" s="17" t="n"/>
      <c r="E48" s="17" t="n"/>
      <c r="F48" s="17" t="n"/>
      <c r="G48" s="17" t="n"/>
      <c r="H48" s="17">
        <f>IF(AND(D48&lt;&gt;"",G48&lt;&gt;"",D48&lt;&gt;0),ROUND((G48-D48)/D48*100,1),"")</f>
        <v/>
      </c>
      <c r="I48" s="17" t="n"/>
      <c r="J48" s="17" t="n"/>
      <c r="K48" s="23">
        <f>IF(H48="","",IF(ABS(H48)&lt;=10,"✔ Accept","✘ Reject"))</f>
        <v/>
      </c>
      <c r="L48" s="17" t="n"/>
    </row>
    <row r="49" ht="16" customHeight="1">
      <c r="A49" s="30" t="n"/>
      <c r="B49" s="15" t="n"/>
      <c r="C49" s="15" t="n"/>
      <c r="D49" s="15" t="n"/>
      <c r="E49" s="15" t="n"/>
      <c r="F49" s="15" t="n"/>
      <c r="G49" s="15" t="n"/>
      <c r="H49" s="15">
        <f>IF(AND(D49&lt;&gt;"",G49&lt;&gt;"",D49&lt;&gt;0),ROUND((G49-D49)/D49*100,1),"")</f>
        <v/>
      </c>
      <c r="I49" s="15" t="n"/>
      <c r="J49" s="15" t="n"/>
      <c r="K49" s="24">
        <f>IF(H49="","",IF(ABS(H49)&lt;=10,"✔ Accept","✘ Reject"))</f>
        <v/>
      </c>
      <c r="L49" s="15" t="n"/>
    </row>
    <row r="50" ht="16" customHeight="1">
      <c r="A50" s="29" t="n"/>
      <c r="B50" s="17" t="n"/>
      <c r="C50" s="17" t="n"/>
      <c r="D50" s="17" t="n"/>
      <c r="E50" s="17" t="n"/>
      <c r="F50" s="17" t="n"/>
      <c r="G50" s="17" t="n"/>
      <c r="H50" s="17">
        <f>IF(AND(D50&lt;&gt;"",G50&lt;&gt;"",D50&lt;&gt;0),ROUND((G50-D50)/D50*100,1),"")</f>
        <v/>
      </c>
      <c r="I50" s="17" t="n"/>
      <c r="J50" s="17" t="n"/>
      <c r="K50" s="23">
        <f>IF(H50="","",IF(ABS(H50)&lt;=10,"✔ Accept","✘ Reject"))</f>
        <v/>
      </c>
      <c r="L50" s="17" t="n"/>
    </row>
    <row r="51" ht="16" customHeight="1">
      <c r="A51" s="30" t="n"/>
      <c r="B51" s="15" t="n"/>
      <c r="C51" s="15" t="n"/>
      <c r="D51" s="15" t="n"/>
      <c r="E51" s="15" t="n"/>
      <c r="F51" s="15" t="n"/>
      <c r="G51" s="15" t="n"/>
      <c r="H51" s="15">
        <f>IF(AND(D51&lt;&gt;"",G51&lt;&gt;"",D51&lt;&gt;0),ROUND((G51-D51)/D51*100,1),"")</f>
        <v/>
      </c>
      <c r="I51" s="15" t="n"/>
      <c r="J51" s="15" t="n"/>
      <c r="K51" s="24">
        <f>IF(H51="","",IF(ABS(H51)&lt;=10,"✔ Accept","✘ Reject"))</f>
        <v/>
      </c>
      <c r="L51" s="15" t="n"/>
    </row>
    <row r="52" ht="16" customHeight="1">
      <c r="A52" s="29" t="n"/>
      <c r="B52" s="17" t="n"/>
      <c r="C52" s="17" t="n"/>
      <c r="D52" s="17" t="n"/>
      <c r="E52" s="17" t="n"/>
      <c r="F52" s="17" t="n"/>
      <c r="G52" s="17" t="n"/>
      <c r="H52" s="17">
        <f>IF(AND(D52&lt;&gt;"",G52&lt;&gt;"",D52&lt;&gt;0),ROUND((G52-D52)/D52*100,1),"")</f>
        <v/>
      </c>
      <c r="I52" s="17" t="n"/>
      <c r="J52" s="17" t="n"/>
      <c r="K52" s="23">
        <f>IF(H52="","",IF(ABS(H52)&lt;=10,"✔ Accept","✘ Reject"))</f>
        <v/>
      </c>
      <c r="L52" s="17" t="n"/>
    </row>
    <row r="53" ht="16" customHeight="1">
      <c r="A53" s="30" t="n"/>
      <c r="B53" s="15" t="n"/>
      <c r="C53" s="15" t="n"/>
      <c r="D53" s="15" t="n"/>
      <c r="E53" s="15" t="n"/>
      <c r="F53" s="15" t="n"/>
      <c r="G53" s="15" t="n"/>
      <c r="H53" s="15">
        <f>IF(AND(D53&lt;&gt;"",G53&lt;&gt;"",D53&lt;&gt;0),ROUND((G53-D53)/D53*100,1),"")</f>
        <v/>
      </c>
      <c r="I53" s="15" t="n"/>
      <c r="J53" s="15" t="n"/>
      <c r="K53" s="24">
        <f>IF(H53="","",IF(ABS(H53)&lt;=10,"✔ Accept","✘ Reject"))</f>
        <v/>
      </c>
      <c r="L53" s="15" t="n"/>
    </row>
    <row r="54" ht="16" customHeight="1">
      <c r="A54" s="29" t="n"/>
      <c r="B54" s="17" t="n"/>
      <c r="C54" s="17" t="n"/>
      <c r="D54" s="17" t="n"/>
      <c r="E54" s="17" t="n"/>
      <c r="F54" s="17" t="n"/>
      <c r="G54" s="17" t="n"/>
      <c r="H54" s="17">
        <f>IF(AND(D54&lt;&gt;"",G54&lt;&gt;"",D54&lt;&gt;0),ROUND((G54-D54)/D54*100,1),"")</f>
        <v/>
      </c>
      <c r="I54" s="17" t="n"/>
      <c r="J54" s="17" t="n"/>
      <c r="K54" s="23">
        <f>IF(H54="","",IF(ABS(H54)&lt;=10,"✔ Accept","✘ Reject"))</f>
        <v/>
      </c>
      <c r="L54" s="17" t="n"/>
    </row>
    <row r="55" ht="16" customHeight="1">
      <c r="A55" s="30" t="n"/>
      <c r="B55" s="15" t="n"/>
      <c r="C55" s="15" t="n"/>
      <c r="D55" s="15" t="n"/>
      <c r="E55" s="15" t="n"/>
      <c r="F55" s="15" t="n"/>
      <c r="G55" s="15" t="n"/>
      <c r="H55" s="15">
        <f>IF(AND(D55&lt;&gt;"",G55&lt;&gt;"",D55&lt;&gt;0),ROUND((G55-D55)/D55*100,1),"")</f>
        <v/>
      </c>
      <c r="I55" s="15" t="n"/>
      <c r="J55" s="15" t="n"/>
      <c r="K55" s="24">
        <f>IF(H55="","",IF(ABS(H55)&lt;=10,"✔ Accept","✘ Reject"))</f>
        <v/>
      </c>
      <c r="L55" s="15" t="n"/>
    </row>
    <row r="56" ht="16" customHeight="1">
      <c r="A56" s="29" t="n"/>
      <c r="B56" s="17" t="n"/>
      <c r="C56" s="17" t="n"/>
      <c r="D56" s="17" t="n"/>
      <c r="E56" s="17" t="n"/>
      <c r="F56" s="17" t="n"/>
      <c r="G56" s="17" t="n"/>
      <c r="H56" s="17">
        <f>IF(AND(D56&lt;&gt;"",G56&lt;&gt;"",D56&lt;&gt;0),ROUND((G56-D56)/D56*100,1),"")</f>
        <v/>
      </c>
      <c r="I56" s="17" t="n"/>
      <c r="J56" s="17" t="n"/>
      <c r="K56" s="23">
        <f>IF(H56="","",IF(ABS(H56)&lt;=10,"✔ Accept","✘ Reject"))</f>
        <v/>
      </c>
      <c r="L56" s="17" t="n"/>
    </row>
    <row r="57" ht="16" customHeight="1">
      <c r="A57" s="30" t="n"/>
      <c r="B57" s="15" t="n"/>
      <c r="C57" s="15" t="n"/>
      <c r="D57" s="15" t="n"/>
      <c r="E57" s="15" t="n"/>
      <c r="F57" s="15" t="n"/>
      <c r="G57" s="15" t="n"/>
      <c r="H57" s="15">
        <f>IF(AND(D57&lt;&gt;"",G57&lt;&gt;"",D57&lt;&gt;0),ROUND((G57-D57)/D57*100,1),"")</f>
        <v/>
      </c>
      <c r="I57" s="15" t="n"/>
      <c r="J57" s="15" t="n"/>
      <c r="K57" s="24">
        <f>IF(H57="","",IF(ABS(H57)&lt;=10,"✔ Accept","✘ Reject"))</f>
        <v/>
      </c>
      <c r="L57" s="15" t="n"/>
    </row>
    <row r="58" ht="16" customHeight="1">
      <c r="A58" s="29" t="n"/>
      <c r="B58" s="17" t="n"/>
      <c r="C58" s="17" t="n"/>
      <c r="D58" s="17" t="n"/>
      <c r="E58" s="17" t="n"/>
      <c r="F58" s="17" t="n"/>
      <c r="G58" s="17" t="n"/>
      <c r="H58" s="17">
        <f>IF(AND(D58&lt;&gt;"",G58&lt;&gt;"",D58&lt;&gt;0),ROUND((G58-D58)/D58*100,1),"")</f>
        <v/>
      </c>
      <c r="I58" s="17" t="n"/>
      <c r="J58" s="17" t="n"/>
      <c r="K58" s="23">
        <f>IF(H58="","",IF(ABS(H58)&lt;=10,"✔ Accept","✘ Reject"))</f>
        <v/>
      </c>
      <c r="L58" s="17" t="n"/>
    </row>
    <row r="59" ht="16" customHeight="1">
      <c r="A59" s="30" t="n"/>
      <c r="B59" s="15" t="n"/>
      <c r="C59" s="15" t="n"/>
      <c r="D59" s="15" t="n"/>
      <c r="E59" s="15" t="n"/>
      <c r="F59" s="15" t="n"/>
      <c r="G59" s="15" t="n"/>
      <c r="H59" s="15">
        <f>IF(AND(D59&lt;&gt;"",G59&lt;&gt;"",D59&lt;&gt;0),ROUND((G59-D59)/D59*100,1),"")</f>
        <v/>
      </c>
      <c r="I59" s="15" t="n"/>
      <c r="J59" s="15" t="n"/>
      <c r="K59" s="24">
        <f>IF(H59="","",IF(ABS(H59)&lt;=10,"✔ Accept","✘ Reject"))</f>
        <v/>
      </c>
      <c r="L59" s="15" t="n"/>
    </row>
    <row r="60" ht="16" customHeight="1">
      <c r="A60" s="29" t="n"/>
      <c r="B60" s="17" t="n"/>
      <c r="C60" s="17" t="n"/>
      <c r="D60" s="17" t="n"/>
      <c r="E60" s="17" t="n"/>
      <c r="F60" s="17" t="n"/>
      <c r="G60" s="17" t="n"/>
      <c r="H60" s="17">
        <f>IF(AND(D60&lt;&gt;"",G60&lt;&gt;"",D60&lt;&gt;0),ROUND((G60-D60)/D60*100,1),"")</f>
        <v/>
      </c>
      <c r="I60" s="17" t="n"/>
      <c r="J60" s="17" t="n"/>
      <c r="K60" s="23">
        <f>IF(H60="","",IF(ABS(H60)&lt;=10,"✔ Accept","✘ Reject"))</f>
        <v/>
      </c>
      <c r="L60" s="17" t="n"/>
    </row>
    <row r="61" ht="16" customHeight="1">
      <c r="A61" s="30" t="n"/>
      <c r="B61" s="15" t="n"/>
      <c r="C61" s="15" t="n"/>
      <c r="D61" s="15" t="n"/>
      <c r="E61" s="15" t="n"/>
      <c r="F61" s="15" t="n"/>
      <c r="G61" s="15" t="n"/>
      <c r="H61" s="15">
        <f>IF(AND(D61&lt;&gt;"",G61&lt;&gt;"",D61&lt;&gt;0),ROUND((G61-D61)/D61*100,1),"")</f>
        <v/>
      </c>
      <c r="I61" s="15" t="n"/>
      <c r="J61" s="15" t="n"/>
      <c r="K61" s="24">
        <f>IF(H61="","",IF(ABS(H61)&lt;=10,"✔ Accept","✘ Reject"))</f>
        <v/>
      </c>
      <c r="L61" s="15" t="n"/>
    </row>
    <row r="62" ht="16" customHeight="1">
      <c r="A62" s="29" t="n"/>
      <c r="B62" s="17" t="n"/>
      <c r="C62" s="17" t="n"/>
      <c r="D62" s="17" t="n"/>
      <c r="E62" s="17" t="n"/>
      <c r="F62" s="17" t="n"/>
      <c r="G62" s="17" t="n"/>
      <c r="H62" s="17">
        <f>IF(AND(D62&lt;&gt;"",G62&lt;&gt;"",D62&lt;&gt;0),ROUND((G62-D62)/D62*100,1),"")</f>
        <v/>
      </c>
      <c r="I62" s="17" t="n"/>
      <c r="J62" s="17" t="n"/>
      <c r="K62" s="23">
        <f>IF(H62="","",IF(ABS(H62)&lt;=10,"✔ Accept","✘ Reject"))</f>
        <v/>
      </c>
      <c r="L62" s="17" t="n"/>
    </row>
    <row r="63" ht="16" customHeight="1">
      <c r="A63" s="30" t="n"/>
      <c r="B63" s="15" t="n"/>
      <c r="C63" s="15" t="n"/>
      <c r="D63" s="15" t="n"/>
      <c r="E63" s="15" t="n"/>
      <c r="F63" s="15" t="n"/>
      <c r="G63" s="15" t="n"/>
      <c r="H63" s="15">
        <f>IF(AND(D63&lt;&gt;"",G63&lt;&gt;"",D63&lt;&gt;0),ROUND((G63-D63)/D63*100,1),"")</f>
        <v/>
      </c>
      <c r="I63" s="15" t="n"/>
      <c r="J63" s="15" t="n"/>
      <c r="K63" s="24">
        <f>IF(H63="","",IF(ABS(H63)&lt;=10,"✔ Accept","✘ Reject"))</f>
        <v/>
      </c>
      <c r="L63" s="15" t="n"/>
    </row>
    <row r="64" ht="16" customHeight="1">
      <c r="A64" s="29" t="n"/>
      <c r="B64" s="17" t="n"/>
      <c r="C64" s="17" t="n"/>
      <c r="D64" s="17" t="n"/>
      <c r="E64" s="17" t="n"/>
      <c r="F64" s="17" t="n"/>
      <c r="G64" s="17" t="n"/>
      <c r="H64" s="17">
        <f>IF(AND(D64&lt;&gt;"",G64&lt;&gt;"",D64&lt;&gt;0),ROUND((G64-D64)/D64*100,1),"")</f>
        <v/>
      </c>
      <c r="I64" s="17" t="n"/>
      <c r="J64" s="17" t="n"/>
      <c r="K64" s="23">
        <f>IF(H64="","",IF(ABS(H64)&lt;=10,"✔ Accept","✘ Reject"))</f>
        <v/>
      </c>
      <c r="L64" s="17" t="n"/>
    </row>
    <row r="65" ht="16" customHeight="1">
      <c r="A65" s="30" t="n"/>
      <c r="B65" s="15" t="n"/>
      <c r="C65" s="15" t="n"/>
      <c r="D65" s="15" t="n"/>
      <c r="E65" s="15" t="n"/>
      <c r="F65" s="15" t="n"/>
      <c r="G65" s="15" t="n"/>
      <c r="H65" s="15">
        <f>IF(AND(D65&lt;&gt;"",G65&lt;&gt;"",D65&lt;&gt;0),ROUND((G65-D65)/D65*100,1),"")</f>
        <v/>
      </c>
      <c r="I65" s="15" t="n"/>
      <c r="J65" s="15" t="n"/>
      <c r="K65" s="24">
        <f>IF(H65="","",IF(ABS(H65)&lt;=10,"✔ Accept","✘ Reject"))</f>
        <v/>
      </c>
      <c r="L65" s="15" t="n"/>
    </row>
    <row r="66" ht="16" customHeight="1">
      <c r="A66" s="29" t="n"/>
      <c r="B66" s="17" t="n"/>
      <c r="C66" s="17" t="n"/>
      <c r="D66" s="17" t="n"/>
      <c r="E66" s="17" t="n"/>
      <c r="F66" s="17" t="n"/>
      <c r="G66" s="17" t="n"/>
      <c r="H66" s="17">
        <f>IF(AND(D66&lt;&gt;"",G66&lt;&gt;"",D66&lt;&gt;0),ROUND((G66-D66)/D66*100,1),"")</f>
        <v/>
      </c>
      <c r="I66" s="17" t="n"/>
      <c r="J66" s="17" t="n"/>
      <c r="K66" s="23">
        <f>IF(H66="","",IF(ABS(H66)&lt;=10,"✔ Accept","✘ Reject"))</f>
        <v/>
      </c>
      <c r="L66" s="17" t="n"/>
    </row>
    <row r="67" ht="16" customHeight="1">
      <c r="A67" s="30" t="n"/>
      <c r="B67" s="15" t="n"/>
      <c r="C67" s="15" t="n"/>
      <c r="D67" s="15" t="n"/>
      <c r="E67" s="15" t="n"/>
      <c r="F67" s="15" t="n"/>
      <c r="G67" s="15" t="n"/>
      <c r="H67" s="15">
        <f>IF(AND(D67&lt;&gt;"",G67&lt;&gt;"",D67&lt;&gt;0),ROUND((G67-D67)/D67*100,1),"")</f>
        <v/>
      </c>
      <c r="I67" s="15" t="n"/>
      <c r="J67" s="15" t="n"/>
      <c r="K67" s="24">
        <f>IF(H67="","",IF(ABS(H67)&lt;=10,"✔ Accept","✘ Reject"))</f>
        <v/>
      </c>
      <c r="L67" s="15" t="n"/>
    </row>
    <row r="68" ht="16" customHeight="1">
      <c r="A68" s="29" t="n"/>
      <c r="B68" s="17" t="n"/>
      <c r="C68" s="17" t="n"/>
      <c r="D68" s="17" t="n"/>
      <c r="E68" s="17" t="n"/>
      <c r="F68" s="17" t="n"/>
      <c r="G68" s="17" t="n"/>
      <c r="H68" s="17">
        <f>IF(AND(D68&lt;&gt;"",G68&lt;&gt;"",D68&lt;&gt;0),ROUND((G68-D68)/D68*100,1),"")</f>
        <v/>
      </c>
      <c r="I68" s="17" t="n"/>
      <c r="J68" s="17" t="n"/>
      <c r="K68" s="23">
        <f>IF(H68="","",IF(ABS(H68)&lt;=10,"✔ Accept","✘ Reject"))</f>
        <v/>
      </c>
      <c r="L68" s="17" t="n"/>
    </row>
    <row r="69" ht="16" customHeight="1">
      <c r="A69" s="30" t="n"/>
      <c r="B69" s="15" t="n"/>
      <c r="C69" s="15" t="n"/>
      <c r="D69" s="15" t="n"/>
      <c r="E69" s="15" t="n"/>
      <c r="F69" s="15" t="n"/>
      <c r="G69" s="15" t="n"/>
      <c r="H69" s="15">
        <f>IF(AND(D69&lt;&gt;"",G69&lt;&gt;"",D69&lt;&gt;0),ROUND((G69-D69)/D69*100,1),"")</f>
        <v/>
      </c>
      <c r="I69" s="15" t="n"/>
      <c r="J69" s="15" t="n"/>
      <c r="K69" s="24">
        <f>IF(H69="","",IF(ABS(H69)&lt;=10,"✔ Accept","✘ Reject"))</f>
        <v/>
      </c>
      <c r="L69" s="15" t="n"/>
    </row>
    <row r="70" ht="16" customHeight="1">
      <c r="A70" s="29" t="n"/>
      <c r="B70" s="17" t="n"/>
      <c r="C70" s="17" t="n"/>
      <c r="D70" s="17" t="n"/>
      <c r="E70" s="17" t="n"/>
      <c r="F70" s="17" t="n"/>
      <c r="G70" s="17" t="n"/>
      <c r="H70" s="17">
        <f>IF(AND(D70&lt;&gt;"",G70&lt;&gt;"",D70&lt;&gt;0),ROUND((G70-D70)/D70*100,1),"")</f>
        <v/>
      </c>
      <c r="I70" s="17" t="n"/>
      <c r="J70" s="17" t="n"/>
      <c r="K70" s="23">
        <f>IF(H70="","",IF(ABS(H70)&lt;=10,"✔ Accept","✘ Reject"))</f>
        <v/>
      </c>
      <c r="L70" s="17" t="n"/>
    </row>
    <row r="71" ht="18" customHeight="1">
      <c r="A71" s="31" t="inlineStr">
        <is>
          <t>SYSTEM TOTAL — AHU-2 / RTU-1</t>
        </is>
      </c>
      <c r="D71" s="32">
        <f>IFERROR(SUM(D46:D70),"")</f>
        <v/>
      </c>
      <c r="E71" s="32">
        <f>IFERROR(SUM(E46:E70),"")</f>
        <v/>
      </c>
      <c r="F71" s="32">
        <f>IFERROR(SUM(F46:F70),"")</f>
        <v/>
      </c>
      <c r="G71" s="32">
        <f>IFERROR(SUM(G46:G70),"")</f>
        <v/>
      </c>
      <c r="H71" s="33">
        <f>IF(AND(D71&lt;&gt;"",G71&lt;&gt;"",D71&lt;&gt;0),ROUND((G71-D71)/D71*100,1),"")</f>
        <v/>
      </c>
      <c r="I71" s="34" t="n"/>
      <c r="J71" s="34" t="n"/>
      <c r="K71" s="34" t="n"/>
      <c r="L71" s="34" t="n"/>
    </row>
    <row r="72" ht="6" customHeight="1"/>
    <row r="73" ht="22" customHeight="1">
      <c r="A73" s="7" t="inlineStr">
        <is>
          <t xml:space="preserve">  🔲  RETURN AIR — GRILLES &amp; REGISTERS  —  System: Return Air System</t>
        </is>
      </c>
      <c r="B73" s="8" t="n"/>
      <c r="C73" s="8" t="n"/>
      <c r="D73" s="8" t="n"/>
      <c r="E73" s="8" t="n"/>
      <c r="F73" s="8" t="n"/>
      <c r="G73" s="8" t="n"/>
      <c r="H73" s="8" t="n"/>
      <c r="I73" s="8" t="n"/>
      <c r="J73" s="8" t="n"/>
      <c r="K73" s="8" t="n"/>
      <c r="L73" s="8" t="n"/>
    </row>
    <row r="74" ht="16" customHeight="1">
      <c r="A74" s="13" t="inlineStr">
        <is>
          <t>Room / Zone</t>
        </is>
      </c>
      <c r="B74" s="13" t="inlineStr">
        <is>
          <t>Grille Tag</t>
        </is>
      </c>
      <c r="C74" s="13" t="inlineStr">
        <is>
          <t>Grille Size</t>
        </is>
      </c>
      <c r="D74" s="13" t="inlineStr">
        <is>
          <t>Design CFM</t>
        </is>
      </c>
      <c r="E74" s="13" t="inlineStr">
        <is>
          <t>1st Test CFM</t>
        </is>
      </c>
      <c r="F74" s="13" t="inlineStr">
        <is>
          <t>2nd Test CFM</t>
        </is>
      </c>
      <c r="G74" s="13" t="inlineStr">
        <is>
          <t>Final CFM</t>
        </is>
      </c>
      <c r="H74" s="13" t="inlineStr">
        <is>
          <t>% Dev. (Final)</t>
        </is>
      </c>
      <c r="I74" s="13" t="inlineStr">
        <is>
          <t>K-Factor</t>
        </is>
      </c>
      <c r="J74" s="13" t="inlineStr">
        <is>
          <t>Velocity (fpm)</t>
        </is>
      </c>
      <c r="K74" s="13" t="inlineStr">
        <is>
          <t>Status</t>
        </is>
      </c>
      <c r="L74" s="13" t="inlineStr">
        <is>
          <t>Notes</t>
        </is>
      </c>
    </row>
    <row r="75" ht="16" customHeight="1">
      <c r="A75" s="29" t="n"/>
      <c r="B75" s="17" t="n"/>
      <c r="C75" s="17" t="n"/>
      <c r="D75" s="17" t="n"/>
      <c r="E75" s="17" t="n"/>
      <c r="F75" s="17" t="n"/>
      <c r="G75" s="17" t="n"/>
      <c r="H75" s="17">
        <f>IF(AND(D75&lt;&gt;"",G75&lt;&gt;"",D75&lt;&gt;0),ROUND((G75-D75)/D75*100,1),"")</f>
        <v/>
      </c>
      <c r="I75" s="17" t="n"/>
      <c r="J75" s="17" t="n"/>
      <c r="K75" s="23">
        <f>IF(H75="","",IF(ABS(H75)&lt;=10,"✔ Accept","✘ Reject"))</f>
        <v/>
      </c>
      <c r="L75" s="17" t="n"/>
    </row>
    <row r="76" ht="16" customHeight="1">
      <c r="A76" s="30" t="n"/>
      <c r="B76" s="15" t="n"/>
      <c r="C76" s="15" t="n"/>
      <c r="D76" s="15" t="n"/>
      <c r="E76" s="15" t="n"/>
      <c r="F76" s="15" t="n"/>
      <c r="G76" s="15" t="n"/>
      <c r="H76" s="15">
        <f>IF(AND(D76&lt;&gt;"",G76&lt;&gt;"",D76&lt;&gt;0),ROUND((G76-D76)/D76*100,1),"")</f>
        <v/>
      </c>
      <c r="I76" s="15" t="n"/>
      <c r="J76" s="15" t="n"/>
      <c r="K76" s="24">
        <f>IF(H76="","",IF(ABS(H76)&lt;=10,"✔ Accept","✘ Reject"))</f>
        <v/>
      </c>
      <c r="L76" s="15" t="n"/>
    </row>
    <row r="77" ht="16" customHeight="1">
      <c r="A77" s="29" t="n"/>
      <c r="B77" s="17" t="n"/>
      <c r="C77" s="17" t="n"/>
      <c r="D77" s="17" t="n"/>
      <c r="E77" s="17" t="n"/>
      <c r="F77" s="17" t="n"/>
      <c r="G77" s="17" t="n"/>
      <c r="H77" s="17">
        <f>IF(AND(D77&lt;&gt;"",G77&lt;&gt;"",D77&lt;&gt;0),ROUND((G77-D77)/D77*100,1),"")</f>
        <v/>
      </c>
      <c r="I77" s="17" t="n"/>
      <c r="J77" s="17" t="n"/>
      <c r="K77" s="23">
        <f>IF(H77="","",IF(ABS(H77)&lt;=10,"✔ Accept","✘ Reject"))</f>
        <v/>
      </c>
      <c r="L77" s="17" t="n"/>
    </row>
    <row r="78" ht="16" customHeight="1">
      <c r="A78" s="30" t="n"/>
      <c r="B78" s="15" t="n"/>
      <c r="C78" s="15" t="n"/>
      <c r="D78" s="15" t="n"/>
      <c r="E78" s="15" t="n"/>
      <c r="F78" s="15" t="n"/>
      <c r="G78" s="15" t="n"/>
      <c r="H78" s="15">
        <f>IF(AND(D78&lt;&gt;"",G78&lt;&gt;"",D78&lt;&gt;0),ROUND((G78-D78)/D78*100,1),"")</f>
        <v/>
      </c>
      <c r="I78" s="15" t="n"/>
      <c r="J78" s="15" t="n"/>
      <c r="K78" s="24">
        <f>IF(H78="","",IF(ABS(H78)&lt;=10,"✔ Accept","✘ Reject"))</f>
        <v/>
      </c>
      <c r="L78" s="15" t="n"/>
    </row>
    <row r="79" ht="16" customHeight="1">
      <c r="A79" s="29" t="n"/>
      <c r="B79" s="17" t="n"/>
      <c r="C79" s="17" t="n"/>
      <c r="D79" s="17" t="n"/>
      <c r="E79" s="17" t="n"/>
      <c r="F79" s="17" t="n"/>
      <c r="G79" s="17" t="n"/>
      <c r="H79" s="17">
        <f>IF(AND(D79&lt;&gt;"",G79&lt;&gt;"",D79&lt;&gt;0),ROUND((G79-D79)/D79*100,1),"")</f>
        <v/>
      </c>
      <c r="I79" s="17" t="n"/>
      <c r="J79" s="17" t="n"/>
      <c r="K79" s="23">
        <f>IF(H79="","",IF(ABS(H79)&lt;=10,"✔ Accept","✘ Reject"))</f>
        <v/>
      </c>
      <c r="L79" s="17" t="n"/>
    </row>
    <row r="80" ht="16" customHeight="1">
      <c r="A80" s="30" t="n"/>
      <c r="B80" s="15" t="n"/>
      <c r="C80" s="15" t="n"/>
      <c r="D80" s="15" t="n"/>
      <c r="E80" s="15" t="n"/>
      <c r="F80" s="15" t="n"/>
      <c r="G80" s="15" t="n"/>
      <c r="H80" s="15">
        <f>IF(AND(D80&lt;&gt;"",G80&lt;&gt;"",D80&lt;&gt;0),ROUND((G80-D80)/D80*100,1),"")</f>
        <v/>
      </c>
      <c r="I80" s="15" t="n"/>
      <c r="J80" s="15" t="n"/>
      <c r="K80" s="24">
        <f>IF(H80="","",IF(ABS(H80)&lt;=10,"✔ Accept","✘ Reject"))</f>
        <v/>
      </c>
      <c r="L80" s="15" t="n"/>
    </row>
    <row r="81" ht="16" customHeight="1">
      <c r="A81" s="29" t="n"/>
      <c r="B81" s="17" t="n"/>
      <c r="C81" s="17" t="n"/>
      <c r="D81" s="17" t="n"/>
      <c r="E81" s="17" t="n"/>
      <c r="F81" s="17" t="n"/>
      <c r="G81" s="17" t="n"/>
      <c r="H81" s="17">
        <f>IF(AND(D81&lt;&gt;"",G81&lt;&gt;"",D81&lt;&gt;0),ROUND((G81-D81)/D81*100,1),"")</f>
        <v/>
      </c>
      <c r="I81" s="17" t="n"/>
      <c r="J81" s="17" t="n"/>
      <c r="K81" s="23">
        <f>IF(H81="","",IF(ABS(H81)&lt;=10,"✔ Accept","✘ Reject"))</f>
        <v/>
      </c>
      <c r="L81" s="17" t="n"/>
    </row>
    <row r="82" ht="16" customHeight="1">
      <c r="A82" s="30" t="n"/>
      <c r="B82" s="15" t="n"/>
      <c r="C82" s="15" t="n"/>
      <c r="D82" s="15" t="n"/>
      <c r="E82" s="15" t="n"/>
      <c r="F82" s="15" t="n"/>
      <c r="G82" s="15" t="n"/>
      <c r="H82" s="15">
        <f>IF(AND(D82&lt;&gt;"",G82&lt;&gt;"",D82&lt;&gt;0),ROUND((G82-D82)/D82*100,1),"")</f>
        <v/>
      </c>
      <c r="I82" s="15" t="n"/>
      <c r="J82" s="15" t="n"/>
      <c r="K82" s="24">
        <f>IF(H82="","",IF(ABS(H82)&lt;=10,"✔ Accept","✘ Reject"))</f>
        <v/>
      </c>
      <c r="L82" s="15" t="n"/>
    </row>
    <row r="83" ht="16" customHeight="1">
      <c r="A83" s="29" t="n"/>
      <c r="B83" s="17" t="n"/>
      <c r="C83" s="17" t="n"/>
      <c r="D83" s="17" t="n"/>
      <c r="E83" s="17" t="n"/>
      <c r="F83" s="17" t="n"/>
      <c r="G83" s="17" t="n"/>
      <c r="H83" s="17">
        <f>IF(AND(D83&lt;&gt;"",G83&lt;&gt;"",D83&lt;&gt;0),ROUND((G83-D83)/D83*100,1),"")</f>
        <v/>
      </c>
      <c r="I83" s="17" t="n"/>
      <c r="J83" s="17" t="n"/>
      <c r="K83" s="23">
        <f>IF(H83="","",IF(ABS(H83)&lt;=10,"✔ Accept","✘ Reject"))</f>
        <v/>
      </c>
      <c r="L83" s="17" t="n"/>
    </row>
    <row r="84" ht="16" customHeight="1">
      <c r="A84" s="30" t="n"/>
      <c r="B84" s="15" t="n"/>
      <c r="C84" s="15" t="n"/>
      <c r="D84" s="15" t="n"/>
      <c r="E84" s="15" t="n"/>
      <c r="F84" s="15" t="n"/>
      <c r="G84" s="15" t="n"/>
      <c r="H84" s="15">
        <f>IF(AND(D84&lt;&gt;"",G84&lt;&gt;"",D84&lt;&gt;0),ROUND((G84-D84)/D84*100,1),"")</f>
        <v/>
      </c>
      <c r="I84" s="15" t="n"/>
      <c r="J84" s="15" t="n"/>
      <c r="K84" s="24">
        <f>IF(H84="","",IF(ABS(H84)&lt;=10,"✔ Accept","✘ Reject"))</f>
        <v/>
      </c>
      <c r="L84" s="15" t="n"/>
    </row>
    <row r="85" ht="16" customHeight="1">
      <c r="A85" s="29" t="n"/>
      <c r="B85" s="17" t="n"/>
      <c r="C85" s="17" t="n"/>
      <c r="D85" s="17" t="n"/>
      <c r="E85" s="17" t="n"/>
      <c r="F85" s="17" t="n"/>
      <c r="G85" s="17" t="n"/>
      <c r="H85" s="17">
        <f>IF(AND(D85&lt;&gt;"",G85&lt;&gt;"",D85&lt;&gt;0),ROUND((G85-D85)/D85*100,1),"")</f>
        <v/>
      </c>
      <c r="I85" s="17" t="n"/>
      <c r="J85" s="17" t="n"/>
      <c r="K85" s="23">
        <f>IF(H85="","",IF(ABS(H85)&lt;=10,"✔ Accept","✘ Reject"))</f>
        <v/>
      </c>
      <c r="L85" s="17" t="n"/>
    </row>
    <row r="86" ht="16" customHeight="1">
      <c r="A86" s="30" t="n"/>
      <c r="B86" s="15" t="n"/>
      <c r="C86" s="15" t="n"/>
      <c r="D86" s="15" t="n"/>
      <c r="E86" s="15" t="n"/>
      <c r="F86" s="15" t="n"/>
      <c r="G86" s="15" t="n"/>
      <c r="H86" s="15">
        <f>IF(AND(D86&lt;&gt;"",G86&lt;&gt;"",D86&lt;&gt;0),ROUND((G86-D86)/D86*100,1),"")</f>
        <v/>
      </c>
      <c r="I86" s="15" t="n"/>
      <c r="J86" s="15" t="n"/>
      <c r="K86" s="24">
        <f>IF(H86="","",IF(ABS(H86)&lt;=10,"✔ Accept","✘ Reject"))</f>
        <v/>
      </c>
      <c r="L86" s="15" t="n"/>
    </row>
    <row r="87" ht="16" customHeight="1">
      <c r="A87" s="29" t="n"/>
      <c r="B87" s="17" t="n"/>
      <c r="C87" s="17" t="n"/>
      <c r="D87" s="17" t="n"/>
      <c r="E87" s="17" t="n"/>
      <c r="F87" s="17" t="n"/>
      <c r="G87" s="17" t="n"/>
      <c r="H87" s="17">
        <f>IF(AND(D87&lt;&gt;"",G87&lt;&gt;"",D87&lt;&gt;0),ROUND((G87-D87)/D87*100,1),"")</f>
        <v/>
      </c>
      <c r="I87" s="17" t="n"/>
      <c r="J87" s="17" t="n"/>
      <c r="K87" s="23">
        <f>IF(H87="","",IF(ABS(H87)&lt;=10,"✔ Accept","✘ Reject"))</f>
        <v/>
      </c>
      <c r="L87" s="17" t="n"/>
    </row>
    <row r="88" ht="16" customHeight="1">
      <c r="A88" s="30" t="n"/>
      <c r="B88" s="15" t="n"/>
      <c r="C88" s="15" t="n"/>
      <c r="D88" s="15" t="n"/>
      <c r="E88" s="15" t="n"/>
      <c r="F88" s="15" t="n"/>
      <c r="G88" s="15" t="n"/>
      <c r="H88" s="15">
        <f>IF(AND(D88&lt;&gt;"",G88&lt;&gt;"",D88&lt;&gt;0),ROUND((G88-D88)/D88*100,1),"")</f>
        <v/>
      </c>
      <c r="I88" s="15" t="n"/>
      <c r="J88" s="15" t="n"/>
      <c r="K88" s="24">
        <f>IF(H88="","",IF(ABS(H88)&lt;=10,"✔ Accept","✘ Reject"))</f>
        <v/>
      </c>
      <c r="L88" s="15" t="n"/>
    </row>
    <row r="89" ht="16" customHeight="1">
      <c r="A89" s="29" t="n"/>
      <c r="B89" s="17" t="n"/>
      <c r="C89" s="17" t="n"/>
      <c r="D89" s="17" t="n"/>
      <c r="E89" s="17" t="n"/>
      <c r="F89" s="17" t="n"/>
      <c r="G89" s="17" t="n"/>
      <c r="H89" s="17">
        <f>IF(AND(D89&lt;&gt;"",G89&lt;&gt;"",D89&lt;&gt;0),ROUND((G89-D89)/D89*100,1),"")</f>
        <v/>
      </c>
      <c r="I89" s="17" t="n"/>
      <c r="J89" s="17" t="n"/>
      <c r="K89" s="23">
        <f>IF(H89="","",IF(ABS(H89)&lt;=10,"✔ Accept","✘ Reject"))</f>
        <v/>
      </c>
      <c r="L89" s="17" t="n"/>
    </row>
    <row r="90" ht="16" customHeight="1">
      <c r="A90" s="30" t="n"/>
      <c r="B90" s="15" t="n"/>
      <c r="C90" s="15" t="n"/>
      <c r="D90" s="15" t="n"/>
      <c r="E90" s="15" t="n"/>
      <c r="F90" s="15" t="n"/>
      <c r="G90" s="15" t="n"/>
      <c r="H90" s="15">
        <f>IF(AND(D90&lt;&gt;"",G90&lt;&gt;"",D90&lt;&gt;0),ROUND((G90-D90)/D90*100,1),"")</f>
        <v/>
      </c>
      <c r="I90" s="15" t="n"/>
      <c r="J90" s="15" t="n"/>
      <c r="K90" s="24">
        <f>IF(H90="","",IF(ABS(H90)&lt;=10,"✔ Accept","✘ Reject"))</f>
        <v/>
      </c>
      <c r="L90" s="15" t="n"/>
    </row>
    <row r="91" ht="16" customHeight="1">
      <c r="A91" s="29" t="n"/>
      <c r="B91" s="17" t="n"/>
      <c r="C91" s="17" t="n"/>
      <c r="D91" s="17" t="n"/>
      <c r="E91" s="17" t="n"/>
      <c r="F91" s="17" t="n"/>
      <c r="G91" s="17" t="n"/>
      <c r="H91" s="17">
        <f>IF(AND(D91&lt;&gt;"",G91&lt;&gt;"",D91&lt;&gt;0),ROUND((G91-D91)/D91*100,1),"")</f>
        <v/>
      </c>
      <c r="I91" s="17" t="n"/>
      <c r="J91" s="17" t="n"/>
      <c r="K91" s="23">
        <f>IF(H91="","",IF(ABS(H91)&lt;=10,"✔ Accept","✘ Reject"))</f>
        <v/>
      </c>
      <c r="L91" s="17" t="n"/>
    </row>
    <row r="92" ht="16" customHeight="1">
      <c r="A92" s="30" t="n"/>
      <c r="B92" s="15" t="n"/>
      <c r="C92" s="15" t="n"/>
      <c r="D92" s="15" t="n"/>
      <c r="E92" s="15" t="n"/>
      <c r="F92" s="15" t="n"/>
      <c r="G92" s="15" t="n"/>
      <c r="H92" s="15">
        <f>IF(AND(D92&lt;&gt;"",G92&lt;&gt;"",D92&lt;&gt;0),ROUND((G92-D92)/D92*100,1),"")</f>
        <v/>
      </c>
      <c r="I92" s="15" t="n"/>
      <c r="J92" s="15" t="n"/>
      <c r="K92" s="24">
        <f>IF(H92="","",IF(ABS(H92)&lt;=10,"✔ Accept","✘ Reject"))</f>
        <v/>
      </c>
      <c r="L92" s="15" t="n"/>
    </row>
    <row r="93" ht="16" customHeight="1">
      <c r="A93" s="29" t="n"/>
      <c r="B93" s="17" t="n"/>
      <c r="C93" s="17" t="n"/>
      <c r="D93" s="17" t="n"/>
      <c r="E93" s="17" t="n"/>
      <c r="F93" s="17" t="n"/>
      <c r="G93" s="17" t="n"/>
      <c r="H93" s="17">
        <f>IF(AND(D93&lt;&gt;"",G93&lt;&gt;"",D93&lt;&gt;0),ROUND((G93-D93)/D93*100,1),"")</f>
        <v/>
      </c>
      <c r="I93" s="17" t="n"/>
      <c r="J93" s="17" t="n"/>
      <c r="K93" s="23">
        <f>IF(H93="","",IF(ABS(H93)&lt;=10,"✔ Accept","✘ Reject"))</f>
        <v/>
      </c>
      <c r="L93" s="17" t="n"/>
    </row>
    <row r="94" ht="16" customHeight="1">
      <c r="A94" s="30" t="n"/>
      <c r="B94" s="15" t="n"/>
      <c r="C94" s="15" t="n"/>
      <c r="D94" s="15" t="n"/>
      <c r="E94" s="15" t="n"/>
      <c r="F94" s="15" t="n"/>
      <c r="G94" s="15" t="n"/>
      <c r="H94" s="15">
        <f>IF(AND(D94&lt;&gt;"",G94&lt;&gt;"",D94&lt;&gt;0),ROUND((G94-D94)/D94*100,1),"")</f>
        <v/>
      </c>
      <c r="I94" s="15" t="n"/>
      <c r="J94" s="15" t="n"/>
      <c r="K94" s="24">
        <f>IF(H94="","",IF(ABS(H94)&lt;=10,"✔ Accept","✘ Reject"))</f>
        <v/>
      </c>
      <c r="L94" s="15" t="n"/>
    </row>
    <row r="95" ht="18" customHeight="1">
      <c r="A95" s="31" t="inlineStr">
        <is>
          <t>SYSTEM TOTAL — Return Air System</t>
        </is>
      </c>
      <c r="D95" s="32">
        <f>IFERROR(SUM(D75:D94),"")</f>
        <v/>
      </c>
      <c r="E95" s="32">
        <f>IFERROR(SUM(E75:E94),"")</f>
        <v/>
      </c>
      <c r="F95" s="32">
        <f>IFERROR(SUM(F75:F94),"")</f>
        <v/>
      </c>
      <c r="G95" s="32">
        <f>IFERROR(SUM(G75:G94),"")</f>
        <v/>
      </c>
      <c r="H95" s="33">
        <f>IF(AND(D95&lt;&gt;"",G95&lt;&gt;"",D95&lt;&gt;0),ROUND((G95-D95)/D95*100,1),"")</f>
        <v/>
      </c>
      <c r="I95" s="34" t="n"/>
      <c r="J95" s="34" t="n"/>
      <c r="K95" s="34" t="n"/>
      <c r="L95" s="34" t="n"/>
    </row>
    <row r="96" ht="6" customHeight="1"/>
    <row r="97" ht="22" customHeight="1">
      <c r="A97" s="7" t="inlineStr">
        <is>
          <t xml:space="preserve">  🔲  EXHAUST AIR — GRILLES, FANS &amp; LOUVERS  —  System: Exhaust System</t>
        </is>
      </c>
      <c r="B97" s="8" t="n"/>
      <c r="C97" s="8" t="n"/>
      <c r="D97" s="8" t="n"/>
      <c r="E97" s="8" t="n"/>
      <c r="F97" s="8" t="n"/>
      <c r="G97" s="8" t="n"/>
      <c r="H97" s="8" t="n"/>
      <c r="I97" s="8" t="n"/>
      <c r="J97" s="8" t="n"/>
      <c r="K97" s="8" t="n"/>
      <c r="L97" s="8" t="n"/>
    </row>
    <row r="98" ht="16" customHeight="1">
      <c r="A98" s="13" t="inlineStr">
        <is>
          <t>Room / Zone</t>
        </is>
      </c>
      <c r="B98" s="13" t="inlineStr">
        <is>
          <t>Grille Tag</t>
        </is>
      </c>
      <c r="C98" s="13" t="inlineStr">
        <is>
          <t>Grille Size</t>
        </is>
      </c>
      <c r="D98" s="13" t="inlineStr">
        <is>
          <t>Design CFM</t>
        </is>
      </c>
      <c r="E98" s="13" t="inlineStr">
        <is>
          <t>1st Test CFM</t>
        </is>
      </c>
      <c r="F98" s="13" t="inlineStr">
        <is>
          <t>2nd Test CFM</t>
        </is>
      </c>
      <c r="G98" s="13" t="inlineStr">
        <is>
          <t>Final CFM</t>
        </is>
      </c>
      <c r="H98" s="13" t="inlineStr">
        <is>
          <t>% Dev. (Final)</t>
        </is>
      </c>
      <c r="I98" s="13" t="inlineStr">
        <is>
          <t>K-Factor</t>
        </is>
      </c>
      <c r="J98" s="13" t="inlineStr">
        <is>
          <t>Velocity (fpm)</t>
        </is>
      </c>
      <c r="K98" s="13" t="inlineStr">
        <is>
          <t>Status</t>
        </is>
      </c>
      <c r="L98" s="13" t="inlineStr">
        <is>
          <t>Notes</t>
        </is>
      </c>
    </row>
    <row r="99" ht="16" customHeight="1">
      <c r="A99" s="29" t="n"/>
      <c r="B99" s="17" t="n"/>
      <c r="C99" s="17" t="n"/>
      <c r="D99" s="17" t="n"/>
      <c r="E99" s="17" t="n"/>
      <c r="F99" s="17" t="n"/>
      <c r="G99" s="17" t="n"/>
      <c r="H99" s="17">
        <f>IF(AND(D99&lt;&gt;"",G99&lt;&gt;"",D99&lt;&gt;0),ROUND((G99-D99)/D99*100,1),"")</f>
        <v/>
      </c>
      <c r="I99" s="17" t="n"/>
      <c r="J99" s="17" t="n"/>
      <c r="K99" s="23">
        <f>IF(H99="","",IF(ABS(H99)&lt;=10,"✔ Accept","✘ Reject"))</f>
        <v/>
      </c>
      <c r="L99" s="17" t="n"/>
    </row>
    <row r="100" ht="16" customHeight="1">
      <c r="A100" s="30" t="n"/>
      <c r="B100" s="15" t="n"/>
      <c r="C100" s="15" t="n"/>
      <c r="D100" s="15" t="n"/>
      <c r="E100" s="15" t="n"/>
      <c r="F100" s="15" t="n"/>
      <c r="G100" s="15" t="n"/>
      <c r="H100" s="15">
        <f>IF(AND(D100&lt;&gt;"",G100&lt;&gt;"",D100&lt;&gt;0),ROUND((G100-D100)/D100*100,1),"")</f>
        <v/>
      </c>
      <c r="I100" s="15" t="n"/>
      <c r="J100" s="15" t="n"/>
      <c r="K100" s="24">
        <f>IF(H100="","",IF(ABS(H100)&lt;=10,"✔ Accept","✘ Reject"))</f>
        <v/>
      </c>
      <c r="L100" s="15" t="n"/>
    </row>
    <row r="101" ht="16" customHeight="1">
      <c r="A101" s="29" t="n"/>
      <c r="B101" s="17" t="n"/>
      <c r="C101" s="17" t="n"/>
      <c r="D101" s="17" t="n"/>
      <c r="E101" s="17" t="n"/>
      <c r="F101" s="17" t="n"/>
      <c r="G101" s="17" t="n"/>
      <c r="H101" s="17">
        <f>IF(AND(D101&lt;&gt;"",G101&lt;&gt;"",D101&lt;&gt;0),ROUND((G101-D101)/D101*100,1),"")</f>
        <v/>
      </c>
      <c r="I101" s="17" t="n"/>
      <c r="J101" s="17" t="n"/>
      <c r="K101" s="23">
        <f>IF(H101="","",IF(ABS(H101)&lt;=10,"✔ Accept","✘ Reject"))</f>
        <v/>
      </c>
      <c r="L101" s="17" t="n"/>
    </row>
    <row r="102" ht="16" customHeight="1">
      <c r="A102" s="30" t="n"/>
      <c r="B102" s="15" t="n"/>
      <c r="C102" s="15" t="n"/>
      <c r="D102" s="15" t="n"/>
      <c r="E102" s="15" t="n"/>
      <c r="F102" s="15" t="n"/>
      <c r="G102" s="15" t="n"/>
      <c r="H102" s="15">
        <f>IF(AND(D102&lt;&gt;"",G102&lt;&gt;"",D102&lt;&gt;0),ROUND((G102-D102)/D102*100,1),"")</f>
        <v/>
      </c>
      <c r="I102" s="15" t="n"/>
      <c r="J102" s="15" t="n"/>
      <c r="K102" s="24">
        <f>IF(H102="","",IF(ABS(H102)&lt;=10,"✔ Accept","✘ Reject"))</f>
        <v/>
      </c>
      <c r="L102" s="15" t="n"/>
    </row>
    <row r="103" ht="16" customHeight="1">
      <c r="A103" s="29" t="n"/>
      <c r="B103" s="17" t="n"/>
      <c r="C103" s="17" t="n"/>
      <c r="D103" s="17" t="n"/>
      <c r="E103" s="17" t="n"/>
      <c r="F103" s="17" t="n"/>
      <c r="G103" s="17" t="n"/>
      <c r="H103" s="17">
        <f>IF(AND(D103&lt;&gt;"",G103&lt;&gt;"",D103&lt;&gt;0),ROUND((G103-D103)/D103*100,1),"")</f>
        <v/>
      </c>
      <c r="I103" s="17" t="n"/>
      <c r="J103" s="17" t="n"/>
      <c r="K103" s="23">
        <f>IF(H103="","",IF(ABS(H103)&lt;=10,"✔ Accept","✘ Reject"))</f>
        <v/>
      </c>
      <c r="L103" s="17" t="n"/>
    </row>
    <row r="104" ht="16" customHeight="1">
      <c r="A104" s="30" t="n"/>
      <c r="B104" s="15" t="n"/>
      <c r="C104" s="15" t="n"/>
      <c r="D104" s="15" t="n"/>
      <c r="E104" s="15" t="n"/>
      <c r="F104" s="15" t="n"/>
      <c r="G104" s="15" t="n"/>
      <c r="H104" s="15">
        <f>IF(AND(D104&lt;&gt;"",G104&lt;&gt;"",D104&lt;&gt;0),ROUND((G104-D104)/D104*100,1),"")</f>
        <v/>
      </c>
      <c r="I104" s="15" t="n"/>
      <c r="J104" s="15" t="n"/>
      <c r="K104" s="24">
        <f>IF(H104="","",IF(ABS(H104)&lt;=10,"✔ Accept","✘ Reject"))</f>
        <v/>
      </c>
      <c r="L104" s="15" t="n"/>
    </row>
    <row r="105" ht="16" customHeight="1">
      <c r="A105" s="29" t="n"/>
      <c r="B105" s="17" t="n"/>
      <c r="C105" s="17" t="n"/>
      <c r="D105" s="17" t="n"/>
      <c r="E105" s="17" t="n"/>
      <c r="F105" s="17" t="n"/>
      <c r="G105" s="17" t="n"/>
      <c r="H105" s="17">
        <f>IF(AND(D105&lt;&gt;"",G105&lt;&gt;"",D105&lt;&gt;0),ROUND((G105-D105)/D105*100,1),"")</f>
        <v/>
      </c>
      <c r="I105" s="17" t="n"/>
      <c r="J105" s="17" t="n"/>
      <c r="K105" s="23">
        <f>IF(H105="","",IF(ABS(H105)&lt;=10,"✔ Accept","✘ Reject"))</f>
        <v/>
      </c>
      <c r="L105" s="17" t="n"/>
    </row>
    <row r="106" ht="16" customHeight="1">
      <c r="A106" s="30" t="n"/>
      <c r="B106" s="15" t="n"/>
      <c r="C106" s="15" t="n"/>
      <c r="D106" s="15" t="n"/>
      <c r="E106" s="15" t="n"/>
      <c r="F106" s="15" t="n"/>
      <c r="G106" s="15" t="n"/>
      <c r="H106" s="15">
        <f>IF(AND(D106&lt;&gt;"",G106&lt;&gt;"",D106&lt;&gt;0),ROUND((G106-D106)/D106*100,1),"")</f>
        <v/>
      </c>
      <c r="I106" s="15" t="n"/>
      <c r="J106" s="15" t="n"/>
      <c r="K106" s="24">
        <f>IF(H106="","",IF(ABS(H106)&lt;=10,"✔ Accept","✘ Reject"))</f>
        <v/>
      </c>
      <c r="L106" s="15" t="n"/>
    </row>
    <row r="107" ht="16" customHeight="1">
      <c r="A107" s="29" t="n"/>
      <c r="B107" s="17" t="n"/>
      <c r="C107" s="17" t="n"/>
      <c r="D107" s="17" t="n"/>
      <c r="E107" s="17" t="n"/>
      <c r="F107" s="17" t="n"/>
      <c r="G107" s="17" t="n"/>
      <c r="H107" s="17">
        <f>IF(AND(D107&lt;&gt;"",G107&lt;&gt;"",D107&lt;&gt;0),ROUND((G107-D107)/D107*100,1),"")</f>
        <v/>
      </c>
      <c r="I107" s="17" t="n"/>
      <c r="J107" s="17" t="n"/>
      <c r="K107" s="23">
        <f>IF(H107="","",IF(ABS(H107)&lt;=10,"✔ Accept","✘ Reject"))</f>
        <v/>
      </c>
      <c r="L107" s="17" t="n"/>
    </row>
    <row r="108" ht="16" customHeight="1">
      <c r="A108" s="30" t="n"/>
      <c r="B108" s="15" t="n"/>
      <c r="C108" s="15" t="n"/>
      <c r="D108" s="15" t="n"/>
      <c r="E108" s="15" t="n"/>
      <c r="F108" s="15" t="n"/>
      <c r="G108" s="15" t="n"/>
      <c r="H108" s="15">
        <f>IF(AND(D108&lt;&gt;"",G108&lt;&gt;"",D108&lt;&gt;0),ROUND((G108-D108)/D108*100,1),"")</f>
        <v/>
      </c>
      <c r="I108" s="15" t="n"/>
      <c r="J108" s="15" t="n"/>
      <c r="K108" s="24">
        <f>IF(H108="","",IF(ABS(H108)&lt;=10,"✔ Accept","✘ Reject"))</f>
        <v/>
      </c>
      <c r="L108" s="15" t="n"/>
    </row>
    <row r="109" ht="16" customHeight="1">
      <c r="A109" s="29" t="n"/>
      <c r="B109" s="17" t="n"/>
      <c r="C109" s="17" t="n"/>
      <c r="D109" s="17" t="n"/>
      <c r="E109" s="17" t="n"/>
      <c r="F109" s="17" t="n"/>
      <c r="G109" s="17" t="n"/>
      <c r="H109" s="17">
        <f>IF(AND(D109&lt;&gt;"",G109&lt;&gt;"",D109&lt;&gt;0),ROUND((G109-D109)/D109*100,1),"")</f>
        <v/>
      </c>
      <c r="I109" s="17" t="n"/>
      <c r="J109" s="17" t="n"/>
      <c r="K109" s="23">
        <f>IF(H109="","",IF(ABS(H109)&lt;=10,"✔ Accept","✘ Reject"))</f>
        <v/>
      </c>
      <c r="L109" s="17" t="n"/>
    </row>
    <row r="110" ht="16" customHeight="1">
      <c r="A110" s="30" t="n"/>
      <c r="B110" s="15" t="n"/>
      <c r="C110" s="15" t="n"/>
      <c r="D110" s="15" t="n"/>
      <c r="E110" s="15" t="n"/>
      <c r="F110" s="15" t="n"/>
      <c r="G110" s="15" t="n"/>
      <c r="H110" s="15">
        <f>IF(AND(D110&lt;&gt;"",G110&lt;&gt;"",D110&lt;&gt;0),ROUND((G110-D110)/D110*100,1),"")</f>
        <v/>
      </c>
      <c r="I110" s="15" t="n"/>
      <c r="J110" s="15" t="n"/>
      <c r="K110" s="24">
        <f>IF(H110="","",IF(ABS(H110)&lt;=10,"✔ Accept","✘ Reject"))</f>
        <v/>
      </c>
      <c r="L110" s="15" t="n"/>
    </row>
    <row r="111" ht="16" customHeight="1">
      <c r="A111" s="29" t="n"/>
      <c r="B111" s="17" t="n"/>
      <c r="C111" s="17" t="n"/>
      <c r="D111" s="17" t="n"/>
      <c r="E111" s="17" t="n"/>
      <c r="F111" s="17" t="n"/>
      <c r="G111" s="17" t="n"/>
      <c r="H111" s="17">
        <f>IF(AND(D111&lt;&gt;"",G111&lt;&gt;"",D111&lt;&gt;0),ROUND((G111-D111)/D111*100,1),"")</f>
        <v/>
      </c>
      <c r="I111" s="17" t="n"/>
      <c r="J111" s="17" t="n"/>
      <c r="K111" s="23">
        <f>IF(H111="","",IF(ABS(H111)&lt;=10,"✔ Accept","✘ Reject"))</f>
        <v/>
      </c>
      <c r="L111" s="17" t="n"/>
    </row>
    <row r="112" ht="16" customHeight="1">
      <c r="A112" s="30" t="n"/>
      <c r="B112" s="15" t="n"/>
      <c r="C112" s="15" t="n"/>
      <c r="D112" s="15" t="n"/>
      <c r="E112" s="15" t="n"/>
      <c r="F112" s="15" t="n"/>
      <c r="G112" s="15" t="n"/>
      <c r="H112" s="15">
        <f>IF(AND(D112&lt;&gt;"",G112&lt;&gt;"",D112&lt;&gt;0),ROUND((G112-D112)/D112*100,1),"")</f>
        <v/>
      </c>
      <c r="I112" s="15" t="n"/>
      <c r="J112" s="15" t="n"/>
      <c r="K112" s="24">
        <f>IF(H112="","",IF(ABS(H112)&lt;=10,"✔ Accept","✘ Reject"))</f>
        <v/>
      </c>
      <c r="L112" s="15" t="n"/>
    </row>
    <row r="113" ht="16" customHeight="1">
      <c r="A113" s="29" t="n"/>
      <c r="B113" s="17" t="n"/>
      <c r="C113" s="17" t="n"/>
      <c r="D113" s="17" t="n"/>
      <c r="E113" s="17" t="n"/>
      <c r="F113" s="17" t="n"/>
      <c r="G113" s="17" t="n"/>
      <c r="H113" s="17">
        <f>IF(AND(D113&lt;&gt;"",G113&lt;&gt;"",D113&lt;&gt;0),ROUND((G113-D113)/D113*100,1),"")</f>
        <v/>
      </c>
      <c r="I113" s="17" t="n"/>
      <c r="J113" s="17" t="n"/>
      <c r="K113" s="23">
        <f>IF(H113="","",IF(ABS(H113)&lt;=10,"✔ Accept","✘ Reject"))</f>
        <v/>
      </c>
      <c r="L113" s="17" t="n"/>
    </row>
    <row r="114" ht="18" customHeight="1">
      <c r="A114" s="31" t="inlineStr">
        <is>
          <t>SYSTEM TOTAL — Exhaust System</t>
        </is>
      </c>
      <c r="D114" s="32">
        <f>IFERROR(SUM(D99:D113),"")</f>
        <v/>
      </c>
      <c r="E114" s="32">
        <f>IFERROR(SUM(E99:E113),"")</f>
        <v/>
      </c>
      <c r="F114" s="32">
        <f>IFERROR(SUM(F99:F113),"")</f>
        <v/>
      </c>
      <c r="G114" s="32">
        <f>IFERROR(SUM(G99:G113),"")</f>
        <v/>
      </c>
      <c r="H114" s="33">
        <f>IF(AND(D114&lt;&gt;"",G114&lt;&gt;"",D114&lt;&gt;0),ROUND((G114-D114)/D114*100,1),"")</f>
        <v/>
      </c>
      <c r="I114" s="34" t="n"/>
      <c r="J114" s="34" t="n"/>
      <c r="K114" s="34" t="n"/>
      <c r="L114" s="34" t="n"/>
    </row>
    <row r="115" ht="6" customHeight="1"/>
    <row r="116" ht="6" customHeight="1">
      <c r="A116" s="3" t="n"/>
    </row>
    <row r="117" ht="18" customHeight="1">
      <c r="A117" s="22" t="inlineStr">
        <is>
          <t>Your HVAC Co.  •  HVAC Test &amp; Balance Report  •  Rogers, AR  •  (555) 867-5309  •  www.yourhvac.com  •  NEBB / AABC Certified</t>
        </is>
      </c>
    </row>
  </sheetData>
  <mergeCells count="14">
    <mergeCell ref="A42:C42"/>
    <mergeCell ref="A73:L73"/>
    <mergeCell ref="A3:H3"/>
    <mergeCell ref="A71:C71"/>
    <mergeCell ref="A2:H2"/>
    <mergeCell ref="F1:H1"/>
    <mergeCell ref="A5:L5"/>
    <mergeCell ref="A117:H117"/>
    <mergeCell ref="A44:L44"/>
    <mergeCell ref="A1:E1"/>
    <mergeCell ref="A97:L97"/>
    <mergeCell ref="A114:C114"/>
    <mergeCell ref="A116:H116"/>
    <mergeCell ref="A95:C95"/>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H133"/>
  <sheetViews>
    <sheetView showGridLines="0" workbookViewId="0">
      <selection activeCell="A1" sqref="A1"/>
    </sheetView>
  </sheetViews>
  <sheetFormatPr baseColWidth="8" defaultRowHeight="15"/>
  <cols>
    <col width="5" customWidth="1" min="1" max="1"/>
    <col width="22" customWidth="1" min="2" max="2"/>
    <col width="12" customWidth="1" min="3" max="3"/>
    <col width="12" customWidth="1" min="4" max="4"/>
    <col width="12" customWidth="1" min="5" max="5"/>
    <col width="12" customWidth="1" min="6" max="6"/>
    <col width="12" customWidth="1" min="7" max="7"/>
    <col width="12" customWidth="1" min="8" max="8"/>
  </cols>
  <sheetData>
    <row r="1" ht="30" customHeight="1">
      <c r="A1" s="1" t="inlineStr">
        <is>
          <t>Your HVAC Co.</t>
        </is>
      </c>
      <c r="F1" s="2" t="inlineStr">
        <is>
          <t>HYDRONIC SYSTEM TEST &amp; BALANCE</t>
        </is>
      </c>
    </row>
    <row r="2" ht="6" customHeight="1">
      <c r="A2" s="3" t="n"/>
    </row>
    <row r="3" ht="16" customHeight="1">
      <c r="A3" s="4" t="inlineStr">
        <is>
          <t>HVAC Test &amp; Balance Report  •  Rogers, AR  •  (555) 867-5309  •  www.yourhvac.com  •  NEBB / AABC Certified TAB Agency</t>
        </is>
      </c>
    </row>
    <row r="4" ht="6" customHeight="1"/>
    <row r="5" ht="22" customHeight="1">
      <c r="A5" s="7" t="inlineStr">
        <is>
          <t xml:space="preserve">  💧  SECTION 7 — PUMP PERFORMANCE DATA</t>
        </is>
      </c>
      <c r="B5" s="8" t="n"/>
      <c r="C5" s="8" t="n"/>
      <c r="D5" s="8" t="n"/>
      <c r="E5" s="8" t="n"/>
      <c r="F5" s="8" t="n"/>
      <c r="G5" s="8" t="n"/>
      <c r="H5" s="8" t="n"/>
    </row>
    <row r="6" ht="16" customHeight="1">
      <c r="A6" s="13" t="inlineStr">
        <is>
          <t>Pump Tag</t>
        </is>
      </c>
      <c r="B6" s="13" t="inlineStr">
        <is>
          <t>Pump Description / System</t>
        </is>
      </c>
      <c r="C6" s="13" t="inlineStr">
        <is>
          <t>Design GPM</t>
        </is>
      </c>
      <c r="D6" s="13" t="inlineStr">
        <is>
          <t>Actual GPM</t>
        </is>
      </c>
      <c r="E6" s="13" t="inlineStr">
        <is>
          <t>% Dev.</t>
        </is>
      </c>
      <c r="F6" s="13" t="inlineStr">
        <is>
          <t>Design Head (ft)</t>
        </is>
      </c>
      <c r="G6" s="13" t="inlineStr">
        <is>
          <t>Actual Head (ft)</t>
        </is>
      </c>
      <c r="H6" s="13" t="inlineStr">
        <is>
          <t>Status</t>
        </is>
      </c>
    </row>
    <row r="7" ht="17" customHeight="1">
      <c r="A7" s="17" t="n"/>
      <c r="B7" s="17" t="n"/>
      <c r="C7" s="17" t="n"/>
      <c r="D7" s="17" t="n"/>
      <c r="E7" s="17">
        <f>IF(AND(C7&lt;&gt;"",D7&lt;&gt;"",C7&lt;&gt;0),ROUND((D7-C7)/C7*100,1),"")</f>
        <v/>
      </c>
      <c r="F7" s="17" t="n"/>
      <c r="G7" s="17" t="n"/>
      <c r="H7" s="23">
        <f>IF(E7="","",IF(ABS(E7)&lt;=10,"✔ Accept","✘ Reject"))</f>
        <v/>
      </c>
    </row>
    <row r="8" ht="17" customHeight="1">
      <c r="A8" s="15" t="n"/>
      <c r="B8" s="15" t="n"/>
      <c r="C8" s="15" t="n"/>
      <c r="D8" s="15" t="n"/>
      <c r="E8" s="15">
        <f>IF(AND(C8&lt;&gt;"",D8&lt;&gt;"",C8&lt;&gt;0),ROUND((D8-C8)/C8*100,1),"")</f>
        <v/>
      </c>
      <c r="F8" s="15" t="n"/>
      <c r="G8" s="15" t="n"/>
      <c r="H8" s="24">
        <f>IF(E8="","",IF(ABS(E8)&lt;=10,"✔ Accept","✘ Reject"))</f>
        <v/>
      </c>
    </row>
    <row r="9" ht="17" customHeight="1">
      <c r="A9" s="17" t="n"/>
      <c r="B9" s="17" t="n"/>
      <c r="C9" s="17" t="n"/>
      <c r="D9" s="17" t="n"/>
      <c r="E9" s="17">
        <f>IF(AND(C9&lt;&gt;"",D9&lt;&gt;"",C9&lt;&gt;0),ROUND((D9-C9)/C9*100,1),"")</f>
        <v/>
      </c>
      <c r="F9" s="17" t="n"/>
      <c r="G9" s="17" t="n"/>
      <c r="H9" s="23">
        <f>IF(E9="","",IF(ABS(E9)&lt;=10,"✔ Accept","✘ Reject"))</f>
        <v/>
      </c>
    </row>
    <row r="10" ht="17" customHeight="1">
      <c r="A10" s="15" t="n"/>
      <c r="B10" s="15" t="n"/>
      <c r="C10" s="15" t="n"/>
      <c r="D10" s="15" t="n"/>
      <c r="E10" s="15">
        <f>IF(AND(C10&lt;&gt;"",D10&lt;&gt;"",C10&lt;&gt;0),ROUND((D10-C10)/C10*100,1),"")</f>
        <v/>
      </c>
      <c r="F10" s="15" t="n"/>
      <c r="G10" s="15" t="n"/>
      <c r="H10" s="24">
        <f>IF(E10="","",IF(ABS(E10)&lt;=10,"✔ Accept","✘ Reject"))</f>
        <v/>
      </c>
    </row>
    <row r="11" ht="17" customHeight="1">
      <c r="A11" s="17" t="n"/>
      <c r="B11" s="17" t="n"/>
      <c r="C11" s="17" t="n"/>
      <c r="D11" s="17" t="n"/>
      <c r="E11" s="17">
        <f>IF(AND(C11&lt;&gt;"",D11&lt;&gt;"",C11&lt;&gt;0),ROUND((D11-C11)/C11*100,1),"")</f>
        <v/>
      </c>
      <c r="F11" s="17" t="n"/>
      <c r="G11" s="17" t="n"/>
      <c r="H11" s="23">
        <f>IF(E11="","",IF(ABS(E11)&lt;=10,"✔ Accept","✘ Reject"))</f>
        <v/>
      </c>
    </row>
    <row r="12" ht="17" customHeight="1">
      <c r="A12" s="15" t="n"/>
      <c r="B12" s="15" t="n"/>
      <c r="C12" s="15" t="n"/>
      <c r="D12" s="15" t="n"/>
      <c r="E12" s="15">
        <f>IF(AND(C12&lt;&gt;"",D12&lt;&gt;"",C12&lt;&gt;0),ROUND((D12-C12)/C12*100,1),"")</f>
        <v/>
      </c>
      <c r="F12" s="15" t="n"/>
      <c r="G12" s="15" t="n"/>
      <c r="H12" s="24">
        <f>IF(E12="","",IF(ABS(E12)&lt;=10,"✔ Accept","✘ Reject"))</f>
        <v/>
      </c>
    </row>
    <row r="13" ht="17" customHeight="1">
      <c r="A13" s="17" t="n"/>
      <c r="B13" s="17" t="n"/>
      <c r="C13" s="17" t="n"/>
      <c r="D13" s="17" t="n"/>
      <c r="E13" s="17">
        <f>IF(AND(C13&lt;&gt;"",D13&lt;&gt;"",C13&lt;&gt;0),ROUND((D13-C13)/C13*100,1),"")</f>
        <v/>
      </c>
      <c r="F13" s="17" t="n"/>
      <c r="G13" s="17" t="n"/>
      <c r="H13" s="23">
        <f>IF(E13="","",IF(ABS(E13)&lt;=10,"✔ Accept","✘ Reject"))</f>
        <v/>
      </c>
    </row>
    <row r="14" ht="17" customHeight="1">
      <c r="A14" s="15" t="n"/>
      <c r="B14" s="15" t="n"/>
      <c r="C14" s="15" t="n"/>
      <c r="D14" s="15" t="n"/>
      <c r="E14" s="15">
        <f>IF(AND(C14&lt;&gt;"",D14&lt;&gt;"",C14&lt;&gt;0),ROUND((D14-C14)/C14*100,1),"")</f>
        <v/>
      </c>
      <c r="F14" s="15" t="n"/>
      <c r="G14" s="15" t="n"/>
      <c r="H14" s="24">
        <f>IF(E14="","",IF(ABS(E14)&lt;=10,"✔ Accept","✘ Reject"))</f>
        <v/>
      </c>
    </row>
    <row r="15" ht="17" customHeight="1">
      <c r="A15" s="17" t="n"/>
      <c r="B15" s="17" t="n"/>
      <c r="C15" s="17" t="n"/>
      <c r="D15" s="17" t="n"/>
      <c r="E15" s="17">
        <f>IF(AND(C15&lt;&gt;"",D15&lt;&gt;"",C15&lt;&gt;0),ROUND((D15-C15)/C15*100,1),"")</f>
        <v/>
      </c>
      <c r="F15" s="17" t="n"/>
      <c r="G15" s="17" t="n"/>
      <c r="H15" s="23">
        <f>IF(E15="","",IF(ABS(E15)&lt;=10,"✔ Accept","✘ Reject"))</f>
        <v/>
      </c>
    </row>
    <row r="16" ht="17" customHeight="1">
      <c r="A16" s="15" t="n"/>
      <c r="B16" s="15" t="n"/>
      <c r="C16" s="15" t="n"/>
      <c r="D16" s="15" t="n"/>
      <c r="E16" s="15">
        <f>IF(AND(C16&lt;&gt;"",D16&lt;&gt;"",C16&lt;&gt;0),ROUND((D16-C16)/C16*100,1),"")</f>
        <v/>
      </c>
      <c r="F16" s="15" t="n"/>
      <c r="G16" s="15" t="n"/>
      <c r="H16" s="24">
        <f>IF(E16="","",IF(ABS(E16)&lt;=10,"✔ Accept","✘ Reject"))</f>
        <v/>
      </c>
    </row>
    <row r="17" ht="17" customHeight="1">
      <c r="A17" s="17" t="n"/>
      <c r="B17" s="17" t="n"/>
      <c r="C17" s="17" t="n"/>
      <c r="D17" s="17" t="n"/>
      <c r="E17" s="17">
        <f>IF(AND(C17&lt;&gt;"",D17&lt;&gt;"",C17&lt;&gt;0),ROUND((D17-C17)/C17*100,1),"")</f>
        <v/>
      </c>
      <c r="F17" s="17" t="n"/>
      <c r="G17" s="17" t="n"/>
      <c r="H17" s="23">
        <f>IF(E17="","",IF(ABS(E17)&lt;=10,"✔ Accept","✘ Reject"))</f>
        <v/>
      </c>
    </row>
    <row r="18" ht="17" customHeight="1">
      <c r="A18" s="15" t="n"/>
      <c r="B18" s="15" t="n"/>
      <c r="C18" s="15" t="n"/>
      <c r="D18" s="15" t="n"/>
      <c r="E18" s="15">
        <f>IF(AND(C18&lt;&gt;"",D18&lt;&gt;"",C18&lt;&gt;0),ROUND((D18-C18)/C18*100,1),"")</f>
        <v/>
      </c>
      <c r="F18" s="15" t="n"/>
      <c r="G18" s="15" t="n"/>
      <c r="H18" s="24">
        <f>IF(E18="","",IF(ABS(E18)&lt;=10,"✔ Accept","✘ Reject"))</f>
        <v/>
      </c>
    </row>
    <row r="19" ht="6" customHeight="1"/>
    <row r="20" ht="16" customHeight="1">
      <c r="A20" s="25" t="inlineStr">
        <is>
          <t xml:space="preserve">  Pump Detail:  P-1 (Chilled Water Primary)</t>
        </is>
      </c>
      <c r="B20" s="26" t="n"/>
      <c r="C20" s="26" t="n"/>
      <c r="D20" s="26" t="n"/>
      <c r="E20" s="26" t="n"/>
      <c r="F20" s="26" t="n"/>
      <c r="G20" s="26" t="n"/>
      <c r="H20" s="26" t="n"/>
    </row>
    <row r="21" ht="14" customHeight="1">
      <c r="A21" s="27" t="inlineStr">
        <is>
          <t>Parameter</t>
        </is>
      </c>
      <c r="B21" s="27" t="inlineStr">
        <is>
          <t>Design</t>
        </is>
      </c>
      <c r="C21" s="27" t="inlineStr">
        <is>
          <t>Actual</t>
        </is>
      </c>
      <c r="D21" s="27" t="inlineStr">
        <is>
          <t>Unit</t>
        </is>
      </c>
      <c r="E21" s="27" t="inlineStr">
        <is>
          <t>% Dev.</t>
        </is>
      </c>
      <c r="F21" s="27" t="inlineStr">
        <is>
          <t>Tolerance</t>
        </is>
      </c>
      <c r="G21" s="27" t="inlineStr">
        <is>
          <t>Status</t>
        </is>
      </c>
      <c r="H21" s="27" t="inlineStr">
        <is>
          <t>Notes</t>
        </is>
      </c>
    </row>
    <row r="22" ht="16" customHeight="1">
      <c r="A22" s="14" t="inlineStr">
        <is>
          <t>System Flow Rate</t>
        </is>
      </c>
      <c r="B22" s="15" t="inlineStr"/>
      <c r="C22" s="28" t="inlineStr"/>
      <c r="D22" s="15" t="inlineStr">
        <is>
          <t>GPM</t>
        </is>
      </c>
      <c r="E22" s="15">
        <f>IF(AND(B22&lt;&gt;"",C22&lt;&gt;"",B22&lt;&gt;0),ROUND((C22-B22)/B22*100,1),"")</f>
        <v/>
      </c>
      <c r="F22" s="15" t="inlineStr">
        <is>
          <t>±10%</t>
        </is>
      </c>
      <c r="G22" s="24">
        <f>IF(E22="","",IF(ABS(E22)&lt;=10,"✔ Accept","✘ Reject"))</f>
        <v/>
      </c>
      <c r="H22" s="15" t="inlineStr"/>
    </row>
    <row r="23" ht="16" customHeight="1">
      <c r="A23" s="16" t="inlineStr">
        <is>
          <t>Pump Total Head</t>
        </is>
      </c>
      <c r="B23" s="17" t="inlineStr"/>
      <c r="C23" s="28" t="inlineStr"/>
      <c r="D23" s="17" t="inlineStr">
        <is>
          <t>ft. w.g.</t>
        </is>
      </c>
      <c r="E23" s="17">
        <f>IF(AND(B23&lt;&gt;"",C23&lt;&gt;"",B23&lt;&gt;0),ROUND((C23-B23)/B23*100,1),"")</f>
        <v/>
      </c>
      <c r="F23" s="17" t="inlineStr">
        <is>
          <t>±10%</t>
        </is>
      </c>
      <c r="G23" s="23">
        <f>IF(E23="","",IF(ABS(E23)&lt;=10,"✔ Accept","✘ Reject"))</f>
        <v/>
      </c>
      <c r="H23" s="17" t="inlineStr"/>
    </row>
    <row r="24" ht="16" customHeight="1">
      <c r="A24" s="14" t="inlineStr">
        <is>
          <t>Pump Inlet Pressure</t>
        </is>
      </c>
      <c r="B24" s="15" t="inlineStr"/>
      <c r="C24" s="28" t="inlineStr"/>
      <c r="D24" s="15" t="inlineStr">
        <is>
          <t>psig</t>
        </is>
      </c>
      <c r="E24" s="15">
        <f>IF(AND(B24&lt;&gt;"",C24&lt;&gt;"",B24&lt;&gt;0),ROUND((C24-B24)/B24*100,1),"")</f>
        <v/>
      </c>
      <c r="F24" s="15" t="inlineStr">
        <is>
          <t>Per design</t>
        </is>
      </c>
      <c r="G24" s="24">
        <f>IF(E24="","",IF(ABS(E24)&lt;=10,"✔ Accept","✘ Reject"))</f>
        <v/>
      </c>
      <c r="H24" s="15" t="inlineStr"/>
    </row>
    <row r="25" ht="16" customHeight="1">
      <c r="A25" s="16" t="inlineStr">
        <is>
          <t>Pump Outlet Pressure</t>
        </is>
      </c>
      <c r="B25" s="17" t="inlineStr"/>
      <c r="C25" s="28" t="inlineStr"/>
      <c r="D25" s="17" t="inlineStr">
        <is>
          <t>psig</t>
        </is>
      </c>
      <c r="E25" s="17">
        <f>IF(AND(B25&lt;&gt;"",C25&lt;&gt;"",B25&lt;&gt;0),ROUND((C25-B25)/B25*100,1),"")</f>
        <v/>
      </c>
      <c r="F25" s="17" t="inlineStr">
        <is>
          <t>Per design</t>
        </is>
      </c>
      <c r="G25" s="23">
        <f>IF(E25="","",IF(ABS(E25)&lt;=10,"✔ Accept","✘ Reject"))</f>
        <v/>
      </c>
      <c r="H25" s="17" t="inlineStr"/>
    </row>
    <row r="26" ht="16" customHeight="1">
      <c r="A26" s="14" t="inlineStr">
        <is>
          <t>Differential Pressure</t>
        </is>
      </c>
      <c r="B26" s="15" t="inlineStr"/>
      <c r="C26" s="28" t="inlineStr"/>
      <c r="D26" s="15" t="inlineStr">
        <is>
          <t>psid</t>
        </is>
      </c>
      <c r="E26" s="15">
        <f>IF(AND(B26&lt;&gt;"",C26&lt;&gt;"",B26&lt;&gt;0),ROUND((C26-B26)/B26*100,1),"")</f>
        <v/>
      </c>
      <c r="F26" s="15" t="inlineStr">
        <is>
          <t>Per design</t>
        </is>
      </c>
      <c r="G26" s="24">
        <f>IF(E26="","",IF(ABS(E26)&lt;=10,"✔ Accept","✘ Reject"))</f>
        <v/>
      </c>
      <c r="H26" s="15" t="inlineStr"/>
    </row>
    <row r="27" ht="16" customHeight="1">
      <c r="A27" s="16" t="inlineStr">
        <is>
          <t>Motor Full Load Amps (FLA)</t>
        </is>
      </c>
      <c r="B27" s="17" t="inlineStr"/>
      <c r="C27" s="28" t="inlineStr"/>
      <c r="D27" s="17" t="inlineStr">
        <is>
          <t>Amps</t>
        </is>
      </c>
      <c r="E27" s="17">
        <f>IF(AND(B27&lt;&gt;"",C27&lt;&gt;"",B27&lt;&gt;0),ROUND((C27-B27)/B27*100,1),"")</f>
        <v/>
      </c>
      <c r="F27" s="17" t="inlineStr">
        <is>
          <t>≤ nameplate</t>
        </is>
      </c>
      <c r="G27" s="23">
        <f>IF(E27="","",IF(ABS(E27)&lt;=10,"✔ Accept","✘ Reject"))</f>
        <v/>
      </c>
      <c r="H27" s="17" t="inlineStr"/>
    </row>
    <row r="28" ht="16" customHeight="1">
      <c r="A28" s="14" t="inlineStr">
        <is>
          <t>Motor Running Amps</t>
        </is>
      </c>
      <c r="B28" s="15" t="inlineStr"/>
      <c r="C28" s="28" t="inlineStr"/>
      <c r="D28" s="15" t="inlineStr">
        <is>
          <t>Amps</t>
        </is>
      </c>
      <c r="E28" s="15" t="inlineStr"/>
      <c r="F28" s="15" t="inlineStr">
        <is>
          <t>≤ FLA</t>
        </is>
      </c>
      <c r="G28" s="15" t="inlineStr"/>
      <c r="H28" s="15" t="inlineStr"/>
    </row>
    <row r="29" ht="16" customHeight="1">
      <c r="A29" s="16" t="inlineStr">
        <is>
          <t>Motor Voltage (L1-L2)</t>
        </is>
      </c>
      <c r="B29" s="17" t="inlineStr"/>
      <c r="C29" s="28" t="inlineStr"/>
      <c r="D29" s="17" t="inlineStr">
        <is>
          <t>VAC</t>
        </is>
      </c>
      <c r="E29" s="17" t="inlineStr"/>
      <c r="F29" s="17" t="inlineStr">
        <is>
          <t>±10%</t>
        </is>
      </c>
      <c r="G29" s="17" t="inlineStr"/>
      <c r="H29" s="17" t="inlineStr"/>
    </row>
    <row r="30" ht="16" customHeight="1">
      <c r="A30" s="14" t="inlineStr">
        <is>
          <t>Pump RPM (measured)</t>
        </is>
      </c>
      <c r="B30" s="15" t="inlineStr"/>
      <c r="C30" s="28" t="inlineStr"/>
      <c r="D30" s="15" t="inlineStr">
        <is>
          <t>RPM</t>
        </is>
      </c>
      <c r="E30" s="15" t="inlineStr"/>
      <c r="F30" s="15" t="inlineStr">
        <is>
          <t>Per curve</t>
        </is>
      </c>
      <c r="G30" s="15" t="inlineStr"/>
      <c r="H30" s="15" t="inlineStr"/>
    </row>
    <row r="31" ht="16" customHeight="1">
      <c r="A31" s="16" t="inlineStr">
        <is>
          <t>VFD Output Frequency</t>
        </is>
      </c>
      <c r="B31" s="17" t="inlineStr"/>
      <c r="C31" s="28" t="inlineStr"/>
      <c r="D31" s="17" t="inlineStr">
        <is>
          <t>Hz</t>
        </is>
      </c>
      <c r="E31" s="17" t="inlineStr"/>
      <c r="F31" s="17" t="inlineStr">
        <is>
          <t>Per BAS</t>
        </is>
      </c>
      <c r="G31" s="17" t="inlineStr"/>
      <c r="H31" s="17" t="inlineStr"/>
    </row>
    <row r="32" ht="16" customHeight="1">
      <c r="A32" s="14" t="inlineStr">
        <is>
          <t>Suction Strainer ΔP</t>
        </is>
      </c>
      <c r="B32" s="15" t="inlineStr"/>
      <c r="C32" s="28" t="inlineStr"/>
      <c r="D32" s="15" t="inlineStr">
        <is>
          <t>psid</t>
        </is>
      </c>
      <c r="E32" s="15" t="inlineStr"/>
      <c r="F32" s="15" t="inlineStr">
        <is>
          <t>&lt; 3 psid clean</t>
        </is>
      </c>
      <c r="G32" s="15" t="inlineStr"/>
      <c r="H32" s="15" t="inlineStr"/>
    </row>
    <row r="33" ht="16" customHeight="1">
      <c r="A33" s="16" t="inlineStr">
        <is>
          <t>System Supply Temp</t>
        </is>
      </c>
      <c r="B33" s="17" t="inlineStr"/>
      <c r="C33" s="28" t="inlineStr"/>
      <c r="D33" s="17" t="inlineStr">
        <is>
          <t>°F</t>
        </is>
      </c>
      <c r="E33" s="17" t="inlineStr"/>
      <c r="F33" s="17" t="inlineStr">
        <is>
          <t>Per design</t>
        </is>
      </c>
      <c r="G33" s="17" t="inlineStr"/>
      <c r="H33" s="17" t="inlineStr"/>
    </row>
    <row r="34" ht="16" customHeight="1">
      <c r="A34" s="14" t="inlineStr">
        <is>
          <t>System Return Temp</t>
        </is>
      </c>
      <c r="B34" s="15" t="inlineStr"/>
      <c r="C34" s="28" t="inlineStr"/>
      <c r="D34" s="15" t="inlineStr">
        <is>
          <t>°F</t>
        </is>
      </c>
      <c r="E34" s="15" t="inlineStr"/>
      <c r="F34" s="15" t="inlineStr">
        <is>
          <t>Per design</t>
        </is>
      </c>
      <c r="G34" s="15" t="inlineStr"/>
      <c r="H34" s="15" t="inlineStr"/>
    </row>
    <row r="35" ht="16" customHeight="1">
      <c r="A35" s="16" t="inlineStr">
        <is>
          <t>System ΔT</t>
        </is>
      </c>
      <c r="B35" s="17" t="inlineStr"/>
      <c r="C35" s="28" t="inlineStr"/>
      <c r="D35" s="17" t="inlineStr">
        <is>
          <t>°F</t>
        </is>
      </c>
      <c r="E35" s="17" t="inlineStr"/>
      <c r="F35" s="17" t="inlineStr">
        <is>
          <t>Per design</t>
        </is>
      </c>
      <c r="G35" s="17" t="inlineStr"/>
      <c r="H35" s="17" t="inlineStr"/>
    </row>
    <row r="36" ht="6" customHeight="1"/>
    <row r="37" ht="16" customHeight="1">
      <c r="A37" s="25" t="inlineStr">
        <is>
          <t xml:space="preserve">  Pump Detail:  P-2 (Chilled Water Secondary)</t>
        </is>
      </c>
      <c r="B37" s="26" t="n"/>
      <c r="C37" s="26" t="n"/>
      <c r="D37" s="26" t="n"/>
      <c r="E37" s="26" t="n"/>
      <c r="F37" s="26" t="n"/>
      <c r="G37" s="26" t="n"/>
      <c r="H37" s="26" t="n"/>
    </row>
    <row r="38" ht="14" customHeight="1">
      <c r="A38" s="27" t="inlineStr">
        <is>
          <t>Parameter</t>
        </is>
      </c>
      <c r="B38" s="27" t="inlineStr">
        <is>
          <t>Design</t>
        </is>
      </c>
      <c r="C38" s="27" t="inlineStr">
        <is>
          <t>Actual</t>
        </is>
      </c>
      <c r="D38" s="27" t="inlineStr">
        <is>
          <t>Unit</t>
        </is>
      </c>
      <c r="E38" s="27" t="inlineStr">
        <is>
          <t>% Dev.</t>
        </is>
      </c>
      <c r="F38" s="27" t="inlineStr">
        <is>
          <t>Tolerance</t>
        </is>
      </c>
      <c r="G38" s="27" t="inlineStr">
        <is>
          <t>Status</t>
        </is>
      </c>
      <c r="H38" s="27" t="inlineStr">
        <is>
          <t>Notes</t>
        </is>
      </c>
    </row>
    <row r="39" ht="16" customHeight="1">
      <c r="A39" s="14" t="inlineStr">
        <is>
          <t>System Flow Rate</t>
        </is>
      </c>
      <c r="B39" s="15" t="inlineStr"/>
      <c r="C39" s="28" t="inlineStr"/>
      <c r="D39" s="15" t="inlineStr">
        <is>
          <t>GPM</t>
        </is>
      </c>
      <c r="E39" s="15">
        <f>IF(AND(B39&lt;&gt;"",C39&lt;&gt;"",B39&lt;&gt;0),ROUND((C39-B39)/B39*100,1),"")</f>
        <v/>
      </c>
      <c r="F39" s="15" t="inlineStr">
        <is>
          <t>±10%</t>
        </is>
      </c>
      <c r="G39" s="24">
        <f>IF(E39="","",IF(ABS(E39)&lt;=10,"✔ Accept","✘ Reject"))</f>
        <v/>
      </c>
      <c r="H39" s="15" t="inlineStr"/>
    </row>
    <row r="40" ht="16" customHeight="1">
      <c r="A40" s="16" t="inlineStr">
        <is>
          <t>Pump Total Head</t>
        </is>
      </c>
      <c r="B40" s="17" t="inlineStr"/>
      <c r="C40" s="28" t="inlineStr"/>
      <c r="D40" s="17" t="inlineStr">
        <is>
          <t>ft. w.g.</t>
        </is>
      </c>
      <c r="E40" s="17">
        <f>IF(AND(B40&lt;&gt;"",C40&lt;&gt;"",B40&lt;&gt;0),ROUND((C40-B40)/B40*100,1),"")</f>
        <v/>
      </c>
      <c r="F40" s="17" t="inlineStr">
        <is>
          <t>±10%</t>
        </is>
      </c>
      <c r="G40" s="23">
        <f>IF(E40="","",IF(ABS(E40)&lt;=10,"✔ Accept","✘ Reject"))</f>
        <v/>
      </c>
      <c r="H40" s="17" t="inlineStr"/>
    </row>
    <row r="41" ht="16" customHeight="1">
      <c r="A41" s="14" t="inlineStr">
        <is>
          <t>Pump Inlet Pressure</t>
        </is>
      </c>
      <c r="B41" s="15" t="inlineStr"/>
      <c r="C41" s="28" t="inlineStr"/>
      <c r="D41" s="15" t="inlineStr">
        <is>
          <t>psig</t>
        </is>
      </c>
      <c r="E41" s="15">
        <f>IF(AND(B41&lt;&gt;"",C41&lt;&gt;"",B41&lt;&gt;0),ROUND((C41-B41)/B41*100,1),"")</f>
        <v/>
      </c>
      <c r="F41" s="15" t="inlineStr">
        <is>
          <t>Per design</t>
        </is>
      </c>
      <c r="G41" s="24">
        <f>IF(E41="","",IF(ABS(E41)&lt;=10,"✔ Accept","✘ Reject"))</f>
        <v/>
      </c>
      <c r="H41" s="15" t="inlineStr"/>
    </row>
    <row r="42" ht="16" customHeight="1">
      <c r="A42" s="16" t="inlineStr">
        <is>
          <t>Pump Outlet Pressure</t>
        </is>
      </c>
      <c r="B42" s="17" t="inlineStr"/>
      <c r="C42" s="28" t="inlineStr"/>
      <c r="D42" s="17" t="inlineStr">
        <is>
          <t>psig</t>
        </is>
      </c>
      <c r="E42" s="17">
        <f>IF(AND(B42&lt;&gt;"",C42&lt;&gt;"",B42&lt;&gt;0),ROUND((C42-B42)/B42*100,1),"")</f>
        <v/>
      </c>
      <c r="F42" s="17" t="inlineStr">
        <is>
          <t>Per design</t>
        </is>
      </c>
      <c r="G42" s="23">
        <f>IF(E42="","",IF(ABS(E42)&lt;=10,"✔ Accept","✘ Reject"))</f>
        <v/>
      </c>
      <c r="H42" s="17" t="inlineStr"/>
    </row>
    <row r="43" ht="16" customHeight="1">
      <c r="A43" s="14" t="inlineStr">
        <is>
          <t>Differential Pressure</t>
        </is>
      </c>
      <c r="B43" s="15" t="inlineStr"/>
      <c r="C43" s="28" t="inlineStr"/>
      <c r="D43" s="15" t="inlineStr">
        <is>
          <t>psid</t>
        </is>
      </c>
      <c r="E43" s="15">
        <f>IF(AND(B43&lt;&gt;"",C43&lt;&gt;"",B43&lt;&gt;0),ROUND((C43-B43)/B43*100,1),"")</f>
        <v/>
      </c>
      <c r="F43" s="15" t="inlineStr">
        <is>
          <t>Per design</t>
        </is>
      </c>
      <c r="G43" s="24">
        <f>IF(E43="","",IF(ABS(E43)&lt;=10,"✔ Accept","✘ Reject"))</f>
        <v/>
      </c>
      <c r="H43" s="15" t="inlineStr"/>
    </row>
    <row r="44" ht="16" customHeight="1">
      <c r="A44" s="16" t="inlineStr">
        <is>
          <t>Motor Full Load Amps (FLA)</t>
        </is>
      </c>
      <c r="B44" s="17" t="inlineStr"/>
      <c r="C44" s="28" t="inlineStr"/>
      <c r="D44" s="17" t="inlineStr">
        <is>
          <t>Amps</t>
        </is>
      </c>
      <c r="E44" s="17">
        <f>IF(AND(B44&lt;&gt;"",C44&lt;&gt;"",B44&lt;&gt;0),ROUND((C44-B44)/B44*100,1),"")</f>
        <v/>
      </c>
      <c r="F44" s="17" t="inlineStr">
        <is>
          <t>≤ nameplate</t>
        </is>
      </c>
      <c r="G44" s="23">
        <f>IF(E44="","",IF(ABS(E44)&lt;=10,"✔ Accept","✘ Reject"))</f>
        <v/>
      </c>
      <c r="H44" s="17" t="inlineStr"/>
    </row>
    <row r="45" ht="16" customHeight="1">
      <c r="A45" s="14" t="inlineStr">
        <is>
          <t>Motor Running Amps</t>
        </is>
      </c>
      <c r="B45" s="15" t="inlineStr"/>
      <c r="C45" s="28" t="inlineStr"/>
      <c r="D45" s="15" t="inlineStr">
        <is>
          <t>Amps</t>
        </is>
      </c>
      <c r="E45" s="15" t="inlineStr"/>
      <c r="F45" s="15" t="inlineStr">
        <is>
          <t>≤ FLA</t>
        </is>
      </c>
      <c r="G45" s="15" t="inlineStr"/>
      <c r="H45" s="15" t="inlineStr"/>
    </row>
    <row r="46" ht="16" customHeight="1">
      <c r="A46" s="16" t="inlineStr">
        <is>
          <t>Motor Voltage (L1-L2)</t>
        </is>
      </c>
      <c r="B46" s="17" t="inlineStr"/>
      <c r="C46" s="28" t="inlineStr"/>
      <c r="D46" s="17" t="inlineStr">
        <is>
          <t>VAC</t>
        </is>
      </c>
      <c r="E46" s="17" t="inlineStr"/>
      <c r="F46" s="17" t="inlineStr">
        <is>
          <t>±10%</t>
        </is>
      </c>
      <c r="G46" s="17" t="inlineStr"/>
      <c r="H46" s="17" t="inlineStr"/>
    </row>
    <row r="47" ht="16" customHeight="1">
      <c r="A47" s="14" t="inlineStr">
        <is>
          <t>Pump RPM (measured)</t>
        </is>
      </c>
      <c r="B47" s="15" t="inlineStr"/>
      <c r="C47" s="28" t="inlineStr"/>
      <c r="D47" s="15" t="inlineStr">
        <is>
          <t>RPM</t>
        </is>
      </c>
      <c r="E47" s="15" t="inlineStr"/>
      <c r="F47" s="15" t="inlineStr">
        <is>
          <t>Per curve</t>
        </is>
      </c>
      <c r="G47" s="15" t="inlineStr"/>
      <c r="H47" s="15" t="inlineStr"/>
    </row>
    <row r="48" ht="16" customHeight="1">
      <c r="A48" s="16" t="inlineStr">
        <is>
          <t>VFD Output Frequency</t>
        </is>
      </c>
      <c r="B48" s="17" t="inlineStr"/>
      <c r="C48" s="28" t="inlineStr"/>
      <c r="D48" s="17" t="inlineStr">
        <is>
          <t>Hz</t>
        </is>
      </c>
      <c r="E48" s="17" t="inlineStr"/>
      <c r="F48" s="17" t="inlineStr">
        <is>
          <t>Per BAS</t>
        </is>
      </c>
      <c r="G48" s="17" t="inlineStr"/>
      <c r="H48" s="17" t="inlineStr"/>
    </row>
    <row r="49" ht="16" customHeight="1">
      <c r="A49" s="14" t="inlineStr">
        <is>
          <t>Suction Strainer ΔP</t>
        </is>
      </c>
      <c r="B49" s="15" t="inlineStr"/>
      <c r="C49" s="28" t="inlineStr"/>
      <c r="D49" s="15" t="inlineStr">
        <is>
          <t>psid</t>
        </is>
      </c>
      <c r="E49" s="15" t="inlineStr"/>
      <c r="F49" s="15" t="inlineStr">
        <is>
          <t>&lt; 3 psid clean</t>
        </is>
      </c>
      <c r="G49" s="15" t="inlineStr"/>
      <c r="H49" s="15" t="inlineStr"/>
    </row>
    <row r="50" ht="16" customHeight="1">
      <c r="A50" s="16" t="inlineStr">
        <is>
          <t>System Supply Temp</t>
        </is>
      </c>
      <c r="B50" s="17" t="inlineStr"/>
      <c r="C50" s="28" t="inlineStr"/>
      <c r="D50" s="17" t="inlineStr">
        <is>
          <t>°F</t>
        </is>
      </c>
      <c r="E50" s="17" t="inlineStr"/>
      <c r="F50" s="17" t="inlineStr">
        <is>
          <t>Per design</t>
        </is>
      </c>
      <c r="G50" s="17" t="inlineStr"/>
      <c r="H50" s="17" t="inlineStr"/>
    </row>
    <row r="51" ht="16" customHeight="1">
      <c r="A51" s="14" t="inlineStr">
        <is>
          <t>System Return Temp</t>
        </is>
      </c>
      <c r="B51" s="15" t="inlineStr"/>
      <c r="C51" s="28" t="inlineStr"/>
      <c r="D51" s="15" t="inlineStr">
        <is>
          <t>°F</t>
        </is>
      </c>
      <c r="E51" s="15" t="inlineStr"/>
      <c r="F51" s="15" t="inlineStr">
        <is>
          <t>Per design</t>
        </is>
      </c>
      <c r="G51" s="15" t="inlineStr"/>
      <c r="H51" s="15" t="inlineStr"/>
    </row>
    <row r="52" ht="16" customHeight="1">
      <c r="A52" s="16" t="inlineStr">
        <is>
          <t>System ΔT</t>
        </is>
      </c>
      <c r="B52" s="17" t="inlineStr"/>
      <c r="C52" s="28" t="inlineStr"/>
      <c r="D52" s="17" t="inlineStr">
        <is>
          <t>°F</t>
        </is>
      </c>
      <c r="E52" s="17" t="inlineStr"/>
      <c r="F52" s="17" t="inlineStr">
        <is>
          <t>Per design</t>
        </is>
      </c>
      <c r="G52" s="17" t="inlineStr"/>
      <c r="H52" s="17" t="inlineStr"/>
    </row>
    <row r="53" ht="6" customHeight="1"/>
    <row r="54" ht="16" customHeight="1">
      <c r="A54" s="25" t="inlineStr">
        <is>
          <t xml:space="preserve">  Pump Detail:  P-3 (Hot Water)</t>
        </is>
      </c>
      <c r="B54" s="26" t="n"/>
      <c r="C54" s="26" t="n"/>
      <c r="D54" s="26" t="n"/>
      <c r="E54" s="26" t="n"/>
      <c r="F54" s="26" t="n"/>
      <c r="G54" s="26" t="n"/>
      <c r="H54" s="26" t="n"/>
    </row>
    <row r="55" ht="14" customHeight="1">
      <c r="A55" s="27" t="inlineStr">
        <is>
          <t>Parameter</t>
        </is>
      </c>
      <c r="B55" s="27" t="inlineStr">
        <is>
          <t>Design</t>
        </is>
      </c>
      <c r="C55" s="27" t="inlineStr">
        <is>
          <t>Actual</t>
        </is>
      </c>
      <c r="D55" s="27" t="inlineStr">
        <is>
          <t>Unit</t>
        </is>
      </c>
      <c r="E55" s="27" t="inlineStr">
        <is>
          <t>% Dev.</t>
        </is>
      </c>
      <c r="F55" s="27" t="inlineStr">
        <is>
          <t>Tolerance</t>
        </is>
      </c>
      <c r="G55" s="27" t="inlineStr">
        <is>
          <t>Status</t>
        </is>
      </c>
      <c r="H55" s="27" t="inlineStr">
        <is>
          <t>Notes</t>
        </is>
      </c>
    </row>
    <row r="56" ht="16" customHeight="1">
      <c r="A56" s="14" t="inlineStr">
        <is>
          <t>System Flow Rate</t>
        </is>
      </c>
      <c r="B56" s="15" t="inlineStr"/>
      <c r="C56" s="28" t="inlineStr"/>
      <c r="D56" s="15" t="inlineStr">
        <is>
          <t>GPM</t>
        </is>
      </c>
      <c r="E56" s="15">
        <f>IF(AND(B56&lt;&gt;"",C56&lt;&gt;"",B56&lt;&gt;0),ROUND((C56-B56)/B56*100,1),"")</f>
        <v/>
      </c>
      <c r="F56" s="15" t="inlineStr">
        <is>
          <t>±10%</t>
        </is>
      </c>
      <c r="G56" s="24">
        <f>IF(E56="","",IF(ABS(E56)&lt;=10,"✔ Accept","✘ Reject"))</f>
        <v/>
      </c>
      <c r="H56" s="15" t="inlineStr"/>
    </row>
    <row r="57" ht="16" customHeight="1">
      <c r="A57" s="16" t="inlineStr">
        <is>
          <t>Pump Total Head</t>
        </is>
      </c>
      <c r="B57" s="17" t="inlineStr"/>
      <c r="C57" s="28" t="inlineStr"/>
      <c r="D57" s="17" t="inlineStr">
        <is>
          <t>ft. w.g.</t>
        </is>
      </c>
      <c r="E57" s="17">
        <f>IF(AND(B57&lt;&gt;"",C57&lt;&gt;"",B57&lt;&gt;0),ROUND((C57-B57)/B57*100,1),"")</f>
        <v/>
      </c>
      <c r="F57" s="17" t="inlineStr">
        <is>
          <t>±10%</t>
        </is>
      </c>
      <c r="G57" s="23">
        <f>IF(E57="","",IF(ABS(E57)&lt;=10,"✔ Accept","✘ Reject"))</f>
        <v/>
      </c>
      <c r="H57" s="17" t="inlineStr"/>
    </row>
    <row r="58" ht="16" customHeight="1">
      <c r="A58" s="14" t="inlineStr">
        <is>
          <t>Pump Inlet Pressure</t>
        </is>
      </c>
      <c r="B58" s="15" t="inlineStr"/>
      <c r="C58" s="28" t="inlineStr"/>
      <c r="D58" s="15" t="inlineStr">
        <is>
          <t>psig</t>
        </is>
      </c>
      <c r="E58" s="15">
        <f>IF(AND(B58&lt;&gt;"",C58&lt;&gt;"",B58&lt;&gt;0),ROUND((C58-B58)/B58*100,1),"")</f>
        <v/>
      </c>
      <c r="F58" s="15" t="inlineStr">
        <is>
          <t>Per design</t>
        </is>
      </c>
      <c r="G58" s="24">
        <f>IF(E58="","",IF(ABS(E58)&lt;=10,"✔ Accept","✘ Reject"))</f>
        <v/>
      </c>
      <c r="H58" s="15" t="inlineStr"/>
    </row>
    <row r="59" ht="16" customHeight="1">
      <c r="A59" s="16" t="inlineStr">
        <is>
          <t>Pump Outlet Pressure</t>
        </is>
      </c>
      <c r="B59" s="17" t="inlineStr"/>
      <c r="C59" s="28" t="inlineStr"/>
      <c r="D59" s="17" t="inlineStr">
        <is>
          <t>psig</t>
        </is>
      </c>
      <c r="E59" s="17">
        <f>IF(AND(B59&lt;&gt;"",C59&lt;&gt;"",B59&lt;&gt;0),ROUND((C59-B59)/B59*100,1),"")</f>
        <v/>
      </c>
      <c r="F59" s="17" t="inlineStr">
        <is>
          <t>Per design</t>
        </is>
      </c>
      <c r="G59" s="23">
        <f>IF(E59="","",IF(ABS(E59)&lt;=10,"✔ Accept","✘ Reject"))</f>
        <v/>
      </c>
      <c r="H59" s="17" t="inlineStr"/>
    </row>
    <row r="60" ht="16" customHeight="1">
      <c r="A60" s="14" t="inlineStr">
        <is>
          <t>Differential Pressure</t>
        </is>
      </c>
      <c r="B60" s="15" t="inlineStr"/>
      <c r="C60" s="28" t="inlineStr"/>
      <c r="D60" s="15" t="inlineStr">
        <is>
          <t>psid</t>
        </is>
      </c>
      <c r="E60" s="15">
        <f>IF(AND(B60&lt;&gt;"",C60&lt;&gt;"",B60&lt;&gt;0),ROUND((C60-B60)/B60*100,1),"")</f>
        <v/>
      </c>
      <c r="F60" s="15" t="inlineStr">
        <is>
          <t>Per design</t>
        </is>
      </c>
      <c r="G60" s="24">
        <f>IF(E60="","",IF(ABS(E60)&lt;=10,"✔ Accept","✘ Reject"))</f>
        <v/>
      </c>
      <c r="H60" s="15" t="inlineStr"/>
    </row>
    <row r="61" ht="16" customHeight="1">
      <c r="A61" s="16" t="inlineStr">
        <is>
          <t>Motor Full Load Amps (FLA)</t>
        </is>
      </c>
      <c r="B61" s="17" t="inlineStr"/>
      <c r="C61" s="28" t="inlineStr"/>
      <c r="D61" s="17" t="inlineStr">
        <is>
          <t>Amps</t>
        </is>
      </c>
      <c r="E61" s="17">
        <f>IF(AND(B61&lt;&gt;"",C61&lt;&gt;"",B61&lt;&gt;0),ROUND((C61-B61)/B61*100,1),"")</f>
        <v/>
      </c>
      <c r="F61" s="17" t="inlineStr">
        <is>
          <t>≤ nameplate</t>
        </is>
      </c>
      <c r="G61" s="23">
        <f>IF(E61="","",IF(ABS(E61)&lt;=10,"✔ Accept","✘ Reject"))</f>
        <v/>
      </c>
      <c r="H61" s="17" t="inlineStr"/>
    </row>
    <row r="62" ht="16" customHeight="1">
      <c r="A62" s="14" t="inlineStr">
        <is>
          <t>Motor Running Amps</t>
        </is>
      </c>
      <c r="B62" s="15" t="inlineStr"/>
      <c r="C62" s="28" t="inlineStr"/>
      <c r="D62" s="15" t="inlineStr">
        <is>
          <t>Amps</t>
        </is>
      </c>
      <c r="E62" s="15" t="inlineStr"/>
      <c r="F62" s="15" t="inlineStr">
        <is>
          <t>≤ FLA</t>
        </is>
      </c>
      <c r="G62" s="15" t="inlineStr"/>
      <c r="H62" s="15" t="inlineStr"/>
    </row>
    <row r="63" ht="16" customHeight="1">
      <c r="A63" s="16" t="inlineStr">
        <is>
          <t>Motor Voltage (L1-L2)</t>
        </is>
      </c>
      <c r="B63" s="17" t="inlineStr"/>
      <c r="C63" s="28" t="inlineStr"/>
      <c r="D63" s="17" t="inlineStr">
        <is>
          <t>VAC</t>
        </is>
      </c>
      <c r="E63" s="17" t="inlineStr"/>
      <c r="F63" s="17" t="inlineStr">
        <is>
          <t>±10%</t>
        </is>
      </c>
      <c r="G63" s="17" t="inlineStr"/>
      <c r="H63" s="17" t="inlineStr"/>
    </row>
    <row r="64" ht="16" customHeight="1">
      <c r="A64" s="14" t="inlineStr">
        <is>
          <t>Pump RPM (measured)</t>
        </is>
      </c>
      <c r="B64" s="15" t="inlineStr"/>
      <c r="C64" s="28" t="inlineStr"/>
      <c r="D64" s="15" t="inlineStr">
        <is>
          <t>RPM</t>
        </is>
      </c>
      <c r="E64" s="15" t="inlineStr"/>
      <c r="F64" s="15" t="inlineStr">
        <is>
          <t>Per curve</t>
        </is>
      </c>
      <c r="G64" s="15" t="inlineStr"/>
      <c r="H64" s="15" t="inlineStr"/>
    </row>
    <row r="65" ht="16" customHeight="1">
      <c r="A65" s="16" t="inlineStr">
        <is>
          <t>VFD Output Frequency</t>
        </is>
      </c>
      <c r="B65" s="17" t="inlineStr"/>
      <c r="C65" s="28" t="inlineStr"/>
      <c r="D65" s="17" t="inlineStr">
        <is>
          <t>Hz</t>
        </is>
      </c>
      <c r="E65" s="17" t="inlineStr"/>
      <c r="F65" s="17" t="inlineStr">
        <is>
          <t>Per BAS</t>
        </is>
      </c>
      <c r="G65" s="17" t="inlineStr"/>
      <c r="H65" s="17" t="inlineStr"/>
    </row>
    <row r="66" ht="16" customHeight="1">
      <c r="A66" s="14" t="inlineStr">
        <is>
          <t>Suction Strainer ΔP</t>
        </is>
      </c>
      <c r="B66" s="15" t="inlineStr"/>
      <c r="C66" s="28" t="inlineStr"/>
      <c r="D66" s="15" t="inlineStr">
        <is>
          <t>psid</t>
        </is>
      </c>
      <c r="E66" s="15" t="inlineStr"/>
      <c r="F66" s="15" t="inlineStr">
        <is>
          <t>&lt; 3 psid clean</t>
        </is>
      </c>
      <c r="G66" s="15" t="inlineStr"/>
      <c r="H66" s="15" t="inlineStr"/>
    </row>
    <row r="67" ht="16" customHeight="1">
      <c r="A67" s="16" t="inlineStr">
        <is>
          <t>System Supply Temp</t>
        </is>
      </c>
      <c r="B67" s="17" t="inlineStr"/>
      <c r="C67" s="28" t="inlineStr"/>
      <c r="D67" s="17" t="inlineStr">
        <is>
          <t>°F</t>
        </is>
      </c>
      <c r="E67" s="17" t="inlineStr"/>
      <c r="F67" s="17" t="inlineStr">
        <is>
          <t>Per design</t>
        </is>
      </c>
      <c r="G67" s="17" t="inlineStr"/>
      <c r="H67" s="17" t="inlineStr"/>
    </row>
    <row r="68" ht="16" customHeight="1">
      <c r="A68" s="14" t="inlineStr">
        <is>
          <t>System Return Temp</t>
        </is>
      </c>
      <c r="B68" s="15" t="inlineStr"/>
      <c r="C68" s="28" t="inlineStr"/>
      <c r="D68" s="15" t="inlineStr">
        <is>
          <t>°F</t>
        </is>
      </c>
      <c r="E68" s="15" t="inlineStr"/>
      <c r="F68" s="15" t="inlineStr">
        <is>
          <t>Per design</t>
        </is>
      </c>
      <c r="G68" s="15" t="inlineStr"/>
      <c r="H68" s="15" t="inlineStr"/>
    </row>
    <row r="69" ht="16" customHeight="1">
      <c r="A69" s="16" t="inlineStr">
        <is>
          <t>System ΔT</t>
        </is>
      </c>
      <c r="B69" s="17" t="inlineStr"/>
      <c r="C69" s="28" t="inlineStr"/>
      <c r="D69" s="17" t="inlineStr">
        <is>
          <t>°F</t>
        </is>
      </c>
      <c r="E69" s="17" t="inlineStr"/>
      <c r="F69" s="17" t="inlineStr">
        <is>
          <t>Per design</t>
        </is>
      </c>
      <c r="G69" s="17" t="inlineStr"/>
      <c r="H69" s="17" t="inlineStr"/>
    </row>
    <row r="70" ht="6" customHeight="1"/>
    <row r="71" ht="16" customHeight="1">
      <c r="A71" s="25" t="inlineStr">
        <is>
          <t xml:space="preserve">  Pump Detail:  P-4 (Condenser Water)</t>
        </is>
      </c>
      <c r="B71" s="26" t="n"/>
      <c r="C71" s="26" t="n"/>
      <c r="D71" s="26" t="n"/>
      <c r="E71" s="26" t="n"/>
      <c r="F71" s="26" t="n"/>
      <c r="G71" s="26" t="n"/>
      <c r="H71" s="26" t="n"/>
    </row>
    <row r="72" ht="14" customHeight="1">
      <c r="A72" s="27" t="inlineStr">
        <is>
          <t>Parameter</t>
        </is>
      </c>
      <c r="B72" s="27" t="inlineStr">
        <is>
          <t>Design</t>
        </is>
      </c>
      <c r="C72" s="27" t="inlineStr">
        <is>
          <t>Actual</t>
        </is>
      </c>
      <c r="D72" s="27" t="inlineStr">
        <is>
          <t>Unit</t>
        </is>
      </c>
      <c r="E72" s="27" t="inlineStr">
        <is>
          <t>% Dev.</t>
        </is>
      </c>
      <c r="F72" s="27" t="inlineStr">
        <is>
          <t>Tolerance</t>
        </is>
      </c>
      <c r="G72" s="27" t="inlineStr">
        <is>
          <t>Status</t>
        </is>
      </c>
      <c r="H72" s="27" t="inlineStr">
        <is>
          <t>Notes</t>
        </is>
      </c>
    </row>
    <row r="73" ht="16" customHeight="1">
      <c r="A73" s="14" t="inlineStr">
        <is>
          <t>System Flow Rate</t>
        </is>
      </c>
      <c r="B73" s="15" t="inlineStr"/>
      <c r="C73" s="28" t="inlineStr"/>
      <c r="D73" s="15" t="inlineStr">
        <is>
          <t>GPM</t>
        </is>
      </c>
      <c r="E73" s="15">
        <f>IF(AND(B73&lt;&gt;"",C73&lt;&gt;"",B73&lt;&gt;0),ROUND((C73-B73)/B73*100,1),"")</f>
        <v/>
      </c>
      <c r="F73" s="15" t="inlineStr">
        <is>
          <t>±10%</t>
        </is>
      </c>
      <c r="G73" s="24">
        <f>IF(E73="","",IF(ABS(E73)&lt;=10,"✔ Accept","✘ Reject"))</f>
        <v/>
      </c>
      <c r="H73" s="15" t="inlineStr"/>
    </row>
    <row r="74" ht="16" customHeight="1">
      <c r="A74" s="16" t="inlineStr">
        <is>
          <t>Pump Total Head</t>
        </is>
      </c>
      <c r="B74" s="17" t="inlineStr"/>
      <c r="C74" s="28" t="inlineStr"/>
      <c r="D74" s="17" t="inlineStr">
        <is>
          <t>ft. w.g.</t>
        </is>
      </c>
      <c r="E74" s="17">
        <f>IF(AND(B74&lt;&gt;"",C74&lt;&gt;"",B74&lt;&gt;0),ROUND((C74-B74)/B74*100,1),"")</f>
        <v/>
      </c>
      <c r="F74" s="17" t="inlineStr">
        <is>
          <t>±10%</t>
        </is>
      </c>
      <c r="G74" s="23">
        <f>IF(E74="","",IF(ABS(E74)&lt;=10,"✔ Accept","✘ Reject"))</f>
        <v/>
      </c>
      <c r="H74" s="17" t="inlineStr"/>
    </row>
    <row r="75" ht="16" customHeight="1">
      <c r="A75" s="14" t="inlineStr">
        <is>
          <t>Pump Inlet Pressure</t>
        </is>
      </c>
      <c r="B75" s="15" t="inlineStr"/>
      <c r="C75" s="28" t="inlineStr"/>
      <c r="D75" s="15" t="inlineStr">
        <is>
          <t>psig</t>
        </is>
      </c>
      <c r="E75" s="15">
        <f>IF(AND(B75&lt;&gt;"",C75&lt;&gt;"",B75&lt;&gt;0),ROUND((C75-B75)/B75*100,1),"")</f>
        <v/>
      </c>
      <c r="F75" s="15" t="inlineStr">
        <is>
          <t>Per design</t>
        </is>
      </c>
      <c r="G75" s="24">
        <f>IF(E75="","",IF(ABS(E75)&lt;=10,"✔ Accept","✘ Reject"))</f>
        <v/>
      </c>
      <c r="H75" s="15" t="inlineStr"/>
    </row>
    <row r="76" ht="16" customHeight="1">
      <c r="A76" s="16" t="inlineStr">
        <is>
          <t>Pump Outlet Pressure</t>
        </is>
      </c>
      <c r="B76" s="17" t="inlineStr"/>
      <c r="C76" s="28" t="inlineStr"/>
      <c r="D76" s="17" t="inlineStr">
        <is>
          <t>psig</t>
        </is>
      </c>
      <c r="E76" s="17">
        <f>IF(AND(B76&lt;&gt;"",C76&lt;&gt;"",B76&lt;&gt;0),ROUND((C76-B76)/B76*100,1),"")</f>
        <v/>
      </c>
      <c r="F76" s="17" t="inlineStr">
        <is>
          <t>Per design</t>
        </is>
      </c>
      <c r="G76" s="23">
        <f>IF(E76="","",IF(ABS(E76)&lt;=10,"✔ Accept","✘ Reject"))</f>
        <v/>
      </c>
      <c r="H76" s="17" t="inlineStr"/>
    </row>
    <row r="77" ht="16" customHeight="1">
      <c r="A77" s="14" t="inlineStr">
        <is>
          <t>Differential Pressure</t>
        </is>
      </c>
      <c r="B77" s="15" t="inlineStr"/>
      <c r="C77" s="28" t="inlineStr"/>
      <c r="D77" s="15" t="inlineStr">
        <is>
          <t>psid</t>
        </is>
      </c>
      <c r="E77" s="15">
        <f>IF(AND(B77&lt;&gt;"",C77&lt;&gt;"",B77&lt;&gt;0),ROUND((C77-B77)/B77*100,1),"")</f>
        <v/>
      </c>
      <c r="F77" s="15" t="inlineStr">
        <is>
          <t>Per design</t>
        </is>
      </c>
      <c r="G77" s="24">
        <f>IF(E77="","",IF(ABS(E77)&lt;=10,"✔ Accept","✘ Reject"))</f>
        <v/>
      </c>
      <c r="H77" s="15" t="inlineStr"/>
    </row>
    <row r="78" ht="16" customHeight="1">
      <c r="A78" s="16" t="inlineStr">
        <is>
          <t>Motor Full Load Amps (FLA)</t>
        </is>
      </c>
      <c r="B78" s="17" t="inlineStr"/>
      <c r="C78" s="28" t="inlineStr"/>
      <c r="D78" s="17" t="inlineStr">
        <is>
          <t>Amps</t>
        </is>
      </c>
      <c r="E78" s="17">
        <f>IF(AND(B78&lt;&gt;"",C78&lt;&gt;"",B78&lt;&gt;0),ROUND((C78-B78)/B78*100,1),"")</f>
        <v/>
      </c>
      <c r="F78" s="17" t="inlineStr">
        <is>
          <t>≤ nameplate</t>
        </is>
      </c>
      <c r="G78" s="23">
        <f>IF(E78="","",IF(ABS(E78)&lt;=10,"✔ Accept","✘ Reject"))</f>
        <v/>
      </c>
      <c r="H78" s="17" t="inlineStr"/>
    </row>
    <row r="79" ht="16" customHeight="1">
      <c r="A79" s="14" t="inlineStr">
        <is>
          <t>Motor Running Amps</t>
        </is>
      </c>
      <c r="B79" s="15" t="inlineStr"/>
      <c r="C79" s="28" t="inlineStr"/>
      <c r="D79" s="15" t="inlineStr">
        <is>
          <t>Amps</t>
        </is>
      </c>
      <c r="E79" s="15" t="inlineStr"/>
      <c r="F79" s="15" t="inlineStr">
        <is>
          <t>≤ FLA</t>
        </is>
      </c>
      <c r="G79" s="15" t="inlineStr"/>
      <c r="H79" s="15" t="inlineStr"/>
    </row>
    <row r="80" ht="16" customHeight="1">
      <c r="A80" s="16" t="inlineStr">
        <is>
          <t>Motor Voltage (L1-L2)</t>
        </is>
      </c>
      <c r="B80" s="17" t="inlineStr"/>
      <c r="C80" s="28" t="inlineStr"/>
      <c r="D80" s="17" t="inlineStr">
        <is>
          <t>VAC</t>
        </is>
      </c>
      <c r="E80" s="17" t="inlineStr"/>
      <c r="F80" s="17" t="inlineStr">
        <is>
          <t>±10%</t>
        </is>
      </c>
      <c r="G80" s="17" t="inlineStr"/>
      <c r="H80" s="17" t="inlineStr"/>
    </row>
    <row r="81" ht="16" customHeight="1">
      <c r="A81" s="14" t="inlineStr">
        <is>
          <t>Pump RPM (measured)</t>
        </is>
      </c>
      <c r="B81" s="15" t="inlineStr"/>
      <c r="C81" s="28" t="inlineStr"/>
      <c r="D81" s="15" t="inlineStr">
        <is>
          <t>RPM</t>
        </is>
      </c>
      <c r="E81" s="15" t="inlineStr"/>
      <c r="F81" s="15" t="inlineStr">
        <is>
          <t>Per curve</t>
        </is>
      </c>
      <c r="G81" s="15" t="inlineStr"/>
      <c r="H81" s="15" t="inlineStr"/>
    </row>
    <row r="82" ht="16" customHeight="1">
      <c r="A82" s="16" t="inlineStr">
        <is>
          <t>VFD Output Frequency</t>
        </is>
      </c>
      <c r="B82" s="17" t="inlineStr"/>
      <c r="C82" s="28" t="inlineStr"/>
      <c r="D82" s="17" t="inlineStr">
        <is>
          <t>Hz</t>
        </is>
      </c>
      <c r="E82" s="17" t="inlineStr"/>
      <c r="F82" s="17" t="inlineStr">
        <is>
          <t>Per BAS</t>
        </is>
      </c>
      <c r="G82" s="17" t="inlineStr"/>
      <c r="H82" s="17" t="inlineStr"/>
    </row>
    <row r="83" ht="16" customHeight="1">
      <c r="A83" s="14" t="inlineStr">
        <is>
          <t>Suction Strainer ΔP</t>
        </is>
      </c>
      <c r="B83" s="15" t="inlineStr"/>
      <c r="C83" s="28" t="inlineStr"/>
      <c r="D83" s="15" t="inlineStr">
        <is>
          <t>psid</t>
        </is>
      </c>
      <c r="E83" s="15" t="inlineStr"/>
      <c r="F83" s="15" t="inlineStr">
        <is>
          <t>&lt; 3 psid clean</t>
        </is>
      </c>
      <c r="G83" s="15" t="inlineStr"/>
      <c r="H83" s="15" t="inlineStr"/>
    </row>
    <row r="84" ht="16" customHeight="1">
      <c r="A84" s="16" t="inlineStr">
        <is>
          <t>System Supply Temp</t>
        </is>
      </c>
      <c r="B84" s="17" t="inlineStr"/>
      <c r="C84" s="28" t="inlineStr"/>
      <c r="D84" s="17" t="inlineStr">
        <is>
          <t>°F</t>
        </is>
      </c>
      <c r="E84" s="17" t="inlineStr"/>
      <c r="F84" s="17" t="inlineStr">
        <is>
          <t>Per design</t>
        </is>
      </c>
      <c r="G84" s="17" t="inlineStr"/>
      <c r="H84" s="17" t="inlineStr"/>
    </row>
    <row r="85" ht="16" customHeight="1">
      <c r="A85" s="14" t="inlineStr">
        <is>
          <t>System Return Temp</t>
        </is>
      </c>
      <c r="B85" s="15" t="inlineStr"/>
      <c r="C85" s="28" t="inlineStr"/>
      <c r="D85" s="15" t="inlineStr">
        <is>
          <t>°F</t>
        </is>
      </c>
      <c r="E85" s="15" t="inlineStr"/>
      <c r="F85" s="15" t="inlineStr">
        <is>
          <t>Per design</t>
        </is>
      </c>
      <c r="G85" s="15" t="inlineStr"/>
      <c r="H85" s="15" t="inlineStr"/>
    </row>
    <row r="86" ht="16" customHeight="1">
      <c r="A86" s="16" t="inlineStr">
        <is>
          <t>System ΔT</t>
        </is>
      </c>
      <c r="B86" s="17" t="inlineStr"/>
      <c r="C86" s="28" t="inlineStr"/>
      <c r="D86" s="17" t="inlineStr">
        <is>
          <t>°F</t>
        </is>
      </c>
      <c r="E86" s="17" t="inlineStr"/>
      <c r="F86" s="17" t="inlineStr">
        <is>
          <t>Per design</t>
        </is>
      </c>
      <c r="G86" s="17" t="inlineStr"/>
      <c r="H86" s="17" t="inlineStr"/>
    </row>
    <row r="87" ht="6" customHeight="1"/>
    <row r="88" ht="22" customHeight="1">
      <c r="A88" s="7" t="inlineStr">
        <is>
          <t xml:space="preserve">  🔲  SECTION 8 — HYDRONIC TERMINAL UNIT FLOW SCHEDULE</t>
        </is>
      </c>
      <c r="B88" s="8" t="n"/>
      <c r="C88" s="8" t="n"/>
      <c r="D88" s="8" t="n"/>
      <c r="E88" s="8" t="n"/>
      <c r="F88" s="8" t="n"/>
      <c r="G88" s="8" t="n"/>
      <c r="H88" s="8" t="n"/>
    </row>
    <row r="89" ht="16" customHeight="1">
      <c r="A89" s="13" t="inlineStr">
        <is>
          <t>Terminal Tag</t>
        </is>
      </c>
      <c r="B89" s="13" t="inlineStr">
        <is>
          <t>Unit Description / Zone</t>
        </is>
      </c>
      <c r="C89" s="13" t="inlineStr">
        <is>
          <t>Design GPM</t>
        </is>
      </c>
      <c r="D89" s="13" t="inlineStr">
        <is>
          <t>1st Test GPM</t>
        </is>
      </c>
      <c r="E89" s="13" t="inlineStr">
        <is>
          <t>2nd Test GPM</t>
        </is>
      </c>
      <c r="F89" s="13" t="inlineStr">
        <is>
          <t>Final GPM</t>
        </is>
      </c>
      <c r="G89" s="13" t="inlineStr">
        <is>
          <t>% Dev. (Final)</t>
        </is>
      </c>
      <c r="H89" s="13" t="inlineStr">
        <is>
          <t>Status</t>
        </is>
      </c>
    </row>
    <row r="90" ht="16" customHeight="1">
      <c r="A90" s="29" t="n"/>
      <c r="B90" s="17" t="n"/>
      <c r="C90" s="17" t="n"/>
      <c r="D90" s="17" t="n"/>
      <c r="E90" s="17" t="n"/>
      <c r="F90" s="17" t="n"/>
      <c r="G90" s="17">
        <f>IF(AND(C90&lt;&gt;"",F90&lt;&gt;"",C90&lt;&gt;0),ROUND((F90-C90)/C90*100,1),"")</f>
        <v/>
      </c>
      <c r="H90" s="23">
        <f>IF(G90="","",IF(ABS(G90)&lt;=10,"✔ Accept","✘ Reject"))</f>
        <v/>
      </c>
    </row>
    <row r="91" ht="16" customHeight="1">
      <c r="A91" s="30" t="n"/>
      <c r="B91" s="15" t="n"/>
      <c r="C91" s="15" t="n"/>
      <c r="D91" s="15" t="n"/>
      <c r="E91" s="15" t="n"/>
      <c r="F91" s="15" t="n"/>
      <c r="G91" s="15">
        <f>IF(AND(C91&lt;&gt;"",F91&lt;&gt;"",C91&lt;&gt;0),ROUND((F91-C91)/C91*100,1),"")</f>
        <v/>
      </c>
      <c r="H91" s="24">
        <f>IF(G91="","",IF(ABS(G91)&lt;=10,"✔ Accept","✘ Reject"))</f>
        <v/>
      </c>
    </row>
    <row r="92" ht="16" customHeight="1">
      <c r="A92" s="29" t="n"/>
      <c r="B92" s="17" t="n"/>
      <c r="C92" s="17" t="n"/>
      <c r="D92" s="17" t="n"/>
      <c r="E92" s="17" t="n"/>
      <c r="F92" s="17" t="n"/>
      <c r="G92" s="17">
        <f>IF(AND(C92&lt;&gt;"",F92&lt;&gt;"",C92&lt;&gt;0),ROUND((F92-C92)/C92*100,1),"")</f>
        <v/>
      </c>
      <c r="H92" s="23">
        <f>IF(G92="","",IF(ABS(G92)&lt;=10,"✔ Accept","✘ Reject"))</f>
        <v/>
      </c>
    </row>
    <row r="93" ht="16" customHeight="1">
      <c r="A93" s="30" t="n"/>
      <c r="B93" s="15" t="n"/>
      <c r="C93" s="15" t="n"/>
      <c r="D93" s="15" t="n"/>
      <c r="E93" s="15" t="n"/>
      <c r="F93" s="15" t="n"/>
      <c r="G93" s="15">
        <f>IF(AND(C93&lt;&gt;"",F93&lt;&gt;"",C93&lt;&gt;0),ROUND((F93-C93)/C93*100,1),"")</f>
        <v/>
      </c>
      <c r="H93" s="24">
        <f>IF(G93="","",IF(ABS(G93)&lt;=10,"✔ Accept","✘ Reject"))</f>
        <v/>
      </c>
    </row>
    <row r="94" ht="16" customHeight="1">
      <c r="A94" s="29" t="n"/>
      <c r="B94" s="17" t="n"/>
      <c r="C94" s="17" t="n"/>
      <c r="D94" s="17" t="n"/>
      <c r="E94" s="17" t="n"/>
      <c r="F94" s="17" t="n"/>
      <c r="G94" s="17">
        <f>IF(AND(C94&lt;&gt;"",F94&lt;&gt;"",C94&lt;&gt;0),ROUND((F94-C94)/C94*100,1),"")</f>
        <v/>
      </c>
      <c r="H94" s="23">
        <f>IF(G94="","",IF(ABS(G94)&lt;=10,"✔ Accept","✘ Reject"))</f>
        <v/>
      </c>
    </row>
    <row r="95" ht="16" customHeight="1">
      <c r="A95" s="30" t="n"/>
      <c r="B95" s="15" t="n"/>
      <c r="C95" s="15" t="n"/>
      <c r="D95" s="15" t="n"/>
      <c r="E95" s="15" t="n"/>
      <c r="F95" s="15" t="n"/>
      <c r="G95" s="15">
        <f>IF(AND(C95&lt;&gt;"",F95&lt;&gt;"",C95&lt;&gt;0),ROUND((F95-C95)/C95*100,1),"")</f>
        <v/>
      </c>
      <c r="H95" s="24">
        <f>IF(G95="","",IF(ABS(G95)&lt;=10,"✔ Accept","✘ Reject"))</f>
        <v/>
      </c>
    </row>
    <row r="96" ht="16" customHeight="1">
      <c r="A96" s="29" t="n"/>
      <c r="B96" s="17" t="n"/>
      <c r="C96" s="17" t="n"/>
      <c r="D96" s="17" t="n"/>
      <c r="E96" s="17" t="n"/>
      <c r="F96" s="17" t="n"/>
      <c r="G96" s="17">
        <f>IF(AND(C96&lt;&gt;"",F96&lt;&gt;"",C96&lt;&gt;0),ROUND((F96-C96)/C96*100,1),"")</f>
        <v/>
      </c>
      <c r="H96" s="23">
        <f>IF(G96="","",IF(ABS(G96)&lt;=10,"✔ Accept","✘ Reject"))</f>
        <v/>
      </c>
    </row>
    <row r="97" ht="16" customHeight="1">
      <c r="A97" s="30" t="n"/>
      <c r="B97" s="15" t="n"/>
      <c r="C97" s="15" t="n"/>
      <c r="D97" s="15" t="n"/>
      <c r="E97" s="15" t="n"/>
      <c r="F97" s="15" t="n"/>
      <c r="G97" s="15">
        <f>IF(AND(C97&lt;&gt;"",F97&lt;&gt;"",C97&lt;&gt;0),ROUND((F97-C97)/C97*100,1),"")</f>
        <v/>
      </c>
      <c r="H97" s="24">
        <f>IF(G97="","",IF(ABS(G97)&lt;=10,"✔ Accept","✘ Reject"))</f>
        <v/>
      </c>
    </row>
    <row r="98" ht="16" customHeight="1">
      <c r="A98" s="29" t="n"/>
      <c r="B98" s="17" t="n"/>
      <c r="C98" s="17" t="n"/>
      <c r="D98" s="17" t="n"/>
      <c r="E98" s="17" t="n"/>
      <c r="F98" s="17" t="n"/>
      <c r="G98" s="17">
        <f>IF(AND(C98&lt;&gt;"",F98&lt;&gt;"",C98&lt;&gt;0),ROUND((F98-C98)/C98*100,1),"")</f>
        <v/>
      </c>
      <c r="H98" s="23">
        <f>IF(G98="","",IF(ABS(G98)&lt;=10,"✔ Accept","✘ Reject"))</f>
        <v/>
      </c>
    </row>
    <row r="99" ht="16" customHeight="1">
      <c r="A99" s="30" t="n"/>
      <c r="B99" s="15" t="n"/>
      <c r="C99" s="15" t="n"/>
      <c r="D99" s="15" t="n"/>
      <c r="E99" s="15" t="n"/>
      <c r="F99" s="15" t="n"/>
      <c r="G99" s="15">
        <f>IF(AND(C99&lt;&gt;"",F99&lt;&gt;"",C99&lt;&gt;0),ROUND((F99-C99)/C99*100,1),"")</f>
        <v/>
      </c>
      <c r="H99" s="24">
        <f>IF(G99="","",IF(ABS(G99)&lt;=10,"✔ Accept","✘ Reject"))</f>
        <v/>
      </c>
    </row>
    <row r="100" ht="16" customHeight="1">
      <c r="A100" s="29" t="n"/>
      <c r="B100" s="17" t="n"/>
      <c r="C100" s="17" t="n"/>
      <c r="D100" s="17" t="n"/>
      <c r="E100" s="17" t="n"/>
      <c r="F100" s="17" t="n"/>
      <c r="G100" s="17">
        <f>IF(AND(C100&lt;&gt;"",F100&lt;&gt;"",C100&lt;&gt;0),ROUND((F100-C100)/C100*100,1),"")</f>
        <v/>
      </c>
      <c r="H100" s="23">
        <f>IF(G100="","",IF(ABS(G100)&lt;=10,"✔ Accept","✘ Reject"))</f>
        <v/>
      </c>
    </row>
    <row r="101" ht="16" customHeight="1">
      <c r="A101" s="30" t="n"/>
      <c r="B101" s="15" t="n"/>
      <c r="C101" s="15" t="n"/>
      <c r="D101" s="15" t="n"/>
      <c r="E101" s="15" t="n"/>
      <c r="F101" s="15" t="n"/>
      <c r="G101" s="15">
        <f>IF(AND(C101&lt;&gt;"",F101&lt;&gt;"",C101&lt;&gt;0),ROUND((F101-C101)/C101*100,1),"")</f>
        <v/>
      </c>
      <c r="H101" s="24">
        <f>IF(G101="","",IF(ABS(G101)&lt;=10,"✔ Accept","✘ Reject"))</f>
        <v/>
      </c>
    </row>
    <row r="102" ht="16" customHeight="1">
      <c r="A102" s="29" t="n"/>
      <c r="B102" s="17" t="n"/>
      <c r="C102" s="17" t="n"/>
      <c r="D102" s="17" t="n"/>
      <c r="E102" s="17" t="n"/>
      <c r="F102" s="17" t="n"/>
      <c r="G102" s="17">
        <f>IF(AND(C102&lt;&gt;"",F102&lt;&gt;"",C102&lt;&gt;0),ROUND((F102-C102)/C102*100,1),"")</f>
        <v/>
      </c>
      <c r="H102" s="23">
        <f>IF(G102="","",IF(ABS(G102)&lt;=10,"✔ Accept","✘ Reject"))</f>
        <v/>
      </c>
    </row>
    <row r="103" ht="16" customHeight="1">
      <c r="A103" s="30" t="n"/>
      <c r="B103" s="15" t="n"/>
      <c r="C103" s="15" t="n"/>
      <c r="D103" s="15" t="n"/>
      <c r="E103" s="15" t="n"/>
      <c r="F103" s="15" t="n"/>
      <c r="G103" s="15">
        <f>IF(AND(C103&lt;&gt;"",F103&lt;&gt;"",C103&lt;&gt;0),ROUND((F103-C103)/C103*100,1),"")</f>
        <v/>
      </c>
      <c r="H103" s="24">
        <f>IF(G103="","",IF(ABS(G103)&lt;=10,"✔ Accept","✘ Reject"))</f>
        <v/>
      </c>
    </row>
    <row r="104" ht="16" customHeight="1">
      <c r="A104" s="29" t="n"/>
      <c r="B104" s="17" t="n"/>
      <c r="C104" s="17" t="n"/>
      <c r="D104" s="17" t="n"/>
      <c r="E104" s="17" t="n"/>
      <c r="F104" s="17" t="n"/>
      <c r="G104" s="17">
        <f>IF(AND(C104&lt;&gt;"",F104&lt;&gt;"",C104&lt;&gt;0),ROUND((F104-C104)/C104*100,1),"")</f>
        <v/>
      </c>
      <c r="H104" s="23">
        <f>IF(G104="","",IF(ABS(G104)&lt;=10,"✔ Accept","✘ Reject"))</f>
        <v/>
      </c>
    </row>
    <row r="105" ht="16" customHeight="1">
      <c r="A105" s="30" t="n"/>
      <c r="B105" s="15" t="n"/>
      <c r="C105" s="15" t="n"/>
      <c r="D105" s="15" t="n"/>
      <c r="E105" s="15" t="n"/>
      <c r="F105" s="15" t="n"/>
      <c r="G105" s="15">
        <f>IF(AND(C105&lt;&gt;"",F105&lt;&gt;"",C105&lt;&gt;0),ROUND((F105-C105)/C105*100,1),"")</f>
        <v/>
      </c>
      <c r="H105" s="24">
        <f>IF(G105="","",IF(ABS(G105)&lt;=10,"✔ Accept","✘ Reject"))</f>
        <v/>
      </c>
    </row>
    <row r="106" ht="16" customHeight="1">
      <c r="A106" s="29" t="n"/>
      <c r="B106" s="17" t="n"/>
      <c r="C106" s="17" t="n"/>
      <c r="D106" s="17" t="n"/>
      <c r="E106" s="17" t="n"/>
      <c r="F106" s="17" t="n"/>
      <c r="G106" s="17">
        <f>IF(AND(C106&lt;&gt;"",F106&lt;&gt;"",C106&lt;&gt;0),ROUND((F106-C106)/C106*100,1),"")</f>
        <v/>
      </c>
      <c r="H106" s="23">
        <f>IF(G106="","",IF(ABS(G106)&lt;=10,"✔ Accept","✘ Reject"))</f>
        <v/>
      </c>
    </row>
    <row r="107" ht="16" customHeight="1">
      <c r="A107" s="30" t="n"/>
      <c r="B107" s="15" t="n"/>
      <c r="C107" s="15" t="n"/>
      <c r="D107" s="15" t="n"/>
      <c r="E107" s="15" t="n"/>
      <c r="F107" s="15" t="n"/>
      <c r="G107" s="15">
        <f>IF(AND(C107&lt;&gt;"",F107&lt;&gt;"",C107&lt;&gt;0),ROUND((F107-C107)/C107*100,1),"")</f>
        <v/>
      </c>
      <c r="H107" s="24">
        <f>IF(G107="","",IF(ABS(G107)&lt;=10,"✔ Accept","✘ Reject"))</f>
        <v/>
      </c>
    </row>
    <row r="108" ht="16" customHeight="1">
      <c r="A108" s="29" t="n"/>
      <c r="B108" s="17" t="n"/>
      <c r="C108" s="17" t="n"/>
      <c r="D108" s="17" t="n"/>
      <c r="E108" s="17" t="n"/>
      <c r="F108" s="17" t="n"/>
      <c r="G108" s="17">
        <f>IF(AND(C108&lt;&gt;"",F108&lt;&gt;"",C108&lt;&gt;0),ROUND((F108-C108)/C108*100,1),"")</f>
        <v/>
      </c>
      <c r="H108" s="23">
        <f>IF(G108="","",IF(ABS(G108)&lt;=10,"✔ Accept","✘ Reject"))</f>
        <v/>
      </c>
    </row>
    <row r="109" ht="16" customHeight="1">
      <c r="A109" s="30" t="n"/>
      <c r="B109" s="15" t="n"/>
      <c r="C109" s="15" t="n"/>
      <c r="D109" s="15" t="n"/>
      <c r="E109" s="15" t="n"/>
      <c r="F109" s="15" t="n"/>
      <c r="G109" s="15">
        <f>IF(AND(C109&lt;&gt;"",F109&lt;&gt;"",C109&lt;&gt;0),ROUND((F109-C109)/C109*100,1),"")</f>
        <v/>
      </c>
      <c r="H109" s="24">
        <f>IF(G109="","",IF(ABS(G109)&lt;=10,"✔ Accept","✘ Reject"))</f>
        <v/>
      </c>
    </row>
    <row r="110" ht="16" customHeight="1">
      <c r="A110" s="29" t="n"/>
      <c r="B110" s="17" t="n"/>
      <c r="C110" s="17" t="n"/>
      <c r="D110" s="17" t="n"/>
      <c r="E110" s="17" t="n"/>
      <c r="F110" s="17" t="n"/>
      <c r="G110" s="17">
        <f>IF(AND(C110&lt;&gt;"",F110&lt;&gt;"",C110&lt;&gt;0),ROUND((F110-C110)/C110*100,1),"")</f>
        <v/>
      </c>
      <c r="H110" s="23">
        <f>IF(G110="","",IF(ABS(G110)&lt;=10,"✔ Accept","✘ Reject"))</f>
        <v/>
      </c>
    </row>
    <row r="111" ht="16" customHeight="1">
      <c r="A111" s="30" t="n"/>
      <c r="B111" s="15" t="n"/>
      <c r="C111" s="15" t="n"/>
      <c r="D111" s="15" t="n"/>
      <c r="E111" s="15" t="n"/>
      <c r="F111" s="15" t="n"/>
      <c r="G111" s="15">
        <f>IF(AND(C111&lt;&gt;"",F111&lt;&gt;"",C111&lt;&gt;0),ROUND((F111-C111)/C111*100,1),"")</f>
        <v/>
      </c>
      <c r="H111" s="24">
        <f>IF(G111="","",IF(ABS(G111)&lt;=10,"✔ Accept","✘ Reject"))</f>
        <v/>
      </c>
    </row>
    <row r="112" ht="16" customHeight="1">
      <c r="A112" s="29" t="n"/>
      <c r="B112" s="17" t="n"/>
      <c r="C112" s="17" t="n"/>
      <c r="D112" s="17" t="n"/>
      <c r="E112" s="17" t="n"/>
      <c r="F112" s="17" t="n"/>
      <c r="G112" s="17">
        <f>IF(AND(C112&lt;&gt;"",F112&lt;&gt;"",C112&lt;&gt;0),ROUND((F112-C112)/C112*100,1),"")</f>
        <v/>
      </c>
      <c r="H112" s="23">
        <f>IF(G112="","",IF(ABS(G112)&lt;=10,"✔ Accept","✘ Reject"))</f>
        <v/>
      </c>
    </row>
    <row r="113" ht="16" customHeight="1">
      <c r="A113" s="30" t="n"/>
      <c r="B113" s="15" t="n"/>
      <c r="C113" s="15" t="n"/>
      <c r="D113" s="15" t="n"/>
      <c r="E113" s="15" t="n"/>
      <c r="F113" s="15" t="n"/>
      <c r="G113" s="15">
        <f>IF(AND(C113&lt;&gt;"",F113&lt;&gt;"",C113&lt;&gt;0),ROUND((F113-C113)/C113*100,1),"")</f>
        <v/>
      </c>
      <c r="H113" s="24">
        <f>IF(G113="","",IF(ABS(G113)&lt;=10,"✔ Accept","✘ Reject"))</f>
        <v/>
      </c>
    </row>
    <row r="114" ht="16" customHeight="1">
      <c r="A114" s="29" t="n"/>
      <c r="B114" s="17" t="n"/>
      <c r="C114" s="17" t="n"/>
      <c r="D114" s="17" t="n"/>
      <c r="E114" s="17" t="n"/>
      <c r="F114" s="17" t="n"/>
      <c r="G114" s="17">
        <f>IF(AND(C114&lt;&gt;"",F114&lt;&gt;"",C114&lt;&gt;0),ROUND((F114-C114)/C114*100,1),"")</f>
        <v/>
      </c>
      <c r="H114" s="23">
        <f>IF(G114="","",IF(ABS(G114)&lt;=10,"✔ Accept","✘ Reject"))</f>
        <v/>
      </c>
    </row>
    <row r="115" ht="16" customHeight="1">
      <c r="A115" s="30" t="n"/>
      <c r="B115" s="15" t="n"/>
      <c r="C115" s="15" t="n"/>
      <c r="D115" s="15" t="n"/>
      <c r="E115" s="15" t="n"/>
      <c r="F115" s="15" t="n"/>
      <c r="G115" s="15">
        <f>IF(AND(C115&lt;&gt;"",F115&lt;&gt;"",C115&lt;&gt;0),ROUND((F115-C115)/C115*100,1),"")</f>
        <v/>
      </c>
      <c r="H115" s="24">
        <f>IF(G115="","",IF(ABS(G115)&lt;=10,"✔ Accept","✘ Reject"))</f>
        <v/>
      </c>
    </row>
    <row r="116" ht="16" customHeight="1">
      <c r="A116" s="29" t="n"/>
      <c r="B116" s="17" t="n"/>
      <c r="C116" s="17" t="n"/>
      <c r="D116" s="17" t="n"/>
      <c r="E116" s="17" t="n"/>
      <c r="F116" s="17" t="n"/>
      <c r="G116" s="17">
        <f>IF(AND(C116&lt;&gt;"",F116&lt;&gt;"",C116&lt;&gt;0),ROUND((F116-C116)/C116*100,1),"")</f>
        <v/>
      </c>
      <c r="H116" s="23">
        <f>IF(G116="","",IF(ABS(G116)&lt;=10,"✔ Accept","✘ Reject"))</f>
        <v/>
      </c>
    </row>
    <row r="117" ht="16" customHeight="1">
      <c r="A117" s="30" t="n"/>
      <c r="B117" s="15" t="n"/>
      <c r="C117" s="15" t="n"/>
      <c r="D117" s="15" t="n"/>
      <c r="E117" s="15" t="n"/>
      <c r="F117" s="15" t="n"/>
      <c r="G117" s="15">
        <f>IF(AND(C117&lt;&gt;"",F117&lt;&gt;"",C117&lt;&gt;0),ROUND((F117-C117)/C117*100,1),"")</f>
        <v/>
      </c>
      <c r="H117" s="24">
        <f>IF(G117="","",IF(ABS(G117)&lt;=10,"✔ Accept","✘ Reject"))</f>
        <v/>
      </c>
    </row>
    <row r="118" ht="16" customHeight="1">
      <c r="A118" s="29" t="n"/>
      <c r="B118" s="17" t="n"/>
      <c r="C118" s="17" t="n"/>
      <c r="D118" s="17" t="n"/>
      <c r="E118" s="17" t="n"/>
      <c r="F118" s="17" t="n"/>
      <c r="G118" s="17">
        <f>IF(AND(C118&lt;&gt;"",F118&lt;&gt;"",C118&lt;&gt;0),ROUND((F118-C118)/C118*100,1),"")</f>
        <v/>
      </c>
      <c r="H118" s="23">
        <f>IF(G118="","",IF(ABS(G118)&lt;=10,"✔ Accept","✘ Reject"))</f>
        <v/>
      </c>
    </row>
    <row r="119" ht="16" customHeight="1">
      <c r="A119" s="30" t="n"/>
      <c r="B119" s="15" t="n"/>
      <c r="C119" s="15" t="n"/>
      <c r="D119" s="15" t="n"/>
      <c r="E119" s="15" t="n"/>
      <c r="F119" s="15" t="n"/>
      <c r="G119" s="15">
        <f>IF(AND(C119&lt;&gt;"",F119&lt;&gt;"",C119&lt;&gt;0),ROUND((F119-C119)/C119*100,1),"")</f>
        <v/>
      </c>
      <c r="H119" s="24">
        <f>IF(G119="","",IF(ABS(G119)&lt;=10,"✔ Accept","✘ Reject"))</f>
        <v/>
      </c>
    </row>
    <row r="120" ht="16" customHeight="1">
      <c r="A120" s="29" t="n"/>
      <c r="B120" s="17" t="n"/>
      <c r="C120" s="17" t="n"/>
      <c r="D120" s="17" t="n"/>
      <c r="E120" s="17" t="n"/>
      <c r="F120" s="17" t="n"/>
      <c r="G120" s="17">
        <f>IF(AND(C120&lt;&gt;"",F120&lt;&gt;"",C120&lt;&gt;0),ROUND((F120-C120)/C120*100,1),"")</f>
        <v/>
      </c>
      <c r="H120" s="23">
        <f>IF(G120="","",IF(ABS(G120)&lt;=10,"✔ Accept","✘ Reject"))</f>
        <v/>
      </c>
    </row>
    <row r="121" ht="16" customHeight="1">
      <c r="A121" s="30" t="n"/>
      <c r="B121" s="15" t="n"/>
      <c r="C121" s="15" t="n"/>
      <c r="D121" s="15" t="n"/>
      <c r="E121" s="15" t="n"/>
      <c r="F121" s="15" t="n"/>
      <c r="G121" s="15">
        <f>IF(AND(C121&lt;&gt;"",F121&lt;&gt;"",C121&lt;&gt;0),ROUND((F121-C121)/C121*100,1),"")</f>
        <v/>
      </c>
      <c r="H121" s="24">
        <f>IF(G121="","",IF(ABS(G121)&lt;=10,"✔ Accept","✘ Reject"))</f>
        <v/>
      </c>
    </row>
    <row r="122" ht="16" customHeight="1">
      <c r="A122" s="29" t="n"/>
      <c r="B122" s="17" t="n"/>
      <c r="C122" s="17" t="n"/>
      <c r="D122" s="17" t="n"/>
      <c r="E122" s="17" t="n"/>
      <c r="F122" s="17" t="n"/>
      <c r="G122" s="17">
        <f>IF(AND(C122&lt;&gt;"",F122&lt;&gt;"",C122&lt;&gt;0),ROUND((F122-C122)/C122*100,1),"")</f>
        <v/>
      </c>
      <c r="H122" s="23">
        <f>IF(G122="","",IF(ABS(G122)&lt;=10,"✔ Accept","✘ Reject"))</f>
        <v/>
      </c>
    </row>
    <row r="123" ht="16" customHeight="1">
      <c r="A123" s="30" t="n"/>
      <c r="B123" s="15" t="n"/>
      <c r="C123" s="15" t="n"/>
      <c r="D123" s="15" t="n"/>
      <c r="E123" s="15" t="n"/>
      <c r="F123" s="15" t="n"/>
      <c r="G123" s="15">
        <f>IF(AND(C123&lt;&gt;"",F123&lt;&gt;"",C123&lt;&gt;0),ROUND((F123-C123)/C123*100,1),"")</f>
        <v/>
      </c>
      <c r="H123" s="24">
        <f>IF(G123="","",IF(ABS(G123)&lt;=10,"✔ Accept","✘ Reject"))</f>
        <v/>
      </c>
    </row>
    <row r="124" ht="16" customHeight="1">
      <c r="A124" s="29" t="n"/>
      <c r="B124" s="17" t="n"/>
      <c r="C124" s="17" t="n"/>
      <c r="D124" s="17" t="n"/>
      <c r="E124" s="17" t="n"/>
      <c r="F124" s="17" t="n"/>
      <c r="G124" s="17">
        <f>IF(AND(C124&lt;&gt;"",F124&lt;&gt;"",C124&lt;&gt;0),ROUND((F124-C124)/C124*100,1),"")</f>
        <v/>
      </c>
      <c r="H124" s="23">
        <f>IF(G124="","",IF(ABS(G124)&lt;=10,"✔ Accept","✘ Reject"))</f>
        <v/>
      </c>
    </row>
    <row r="125" ht="16" customHeight="1">
      <c r="A125" s="30" t="n"/>
      <c r="B125" s="15" t="n"/>
      <c r="C125" s="15" t="n"/>
      <c r="D125" s="15" t="n"/>
      <c r="E125" s="15" t="n"/>
      <c r="F125" s="15" t="n"/>
      <c r="G125" s="15">
        <f>IF(AND(C125&lt;&gt;"",F125&lt;&gt;"",C125&lt;&gt;0),ROUND((F125-C125)/C125*100,1),"")</f>
        <v/>
      </c>
      <c r="H125" s="24">
        <f>IF(G125="","",IF(ABS(G125)&lt;=10,"✔ Accept","✘ Reject"))</f>
        <v/>
      </c>
    </row>
    <row r="126" ht="16" customHeight="1">
      <c r="A126" s="29" t="n"/>
      <c r="B126" s="17" t="n"/>
      <c r="C126" s="17" t="n"/>
      <c r="D126" s="17" t="n"/>
      <c r="E126" s="17" t="n"/>
      <c r="F126" s="17" t="n"/>
      <c r="G126" s="17">
        <f>IF(AND(C126&lt;&gt;"",F126&lt;&gt;"",C126&lt;&gt;0),ROUND((F126-C126)/C126*100,1),"")</f>
        <v/>
      </c>
      <c r="H126" s="23">
        <f>IF(G126="","",IF(ABS(G126)&lt;=10,"✔ Accept","✘ Reject"))</f>
        <v/>
      </c>
    </row>
    <row r="127" ht="16" customHeight="1">
      <c r="A127" s="30" t="n"/>
      <c r="B127" s="15" t="n"/>
      <c r="C127" s="15" t="n"/>
      <c r="D127" s="15" t="n"/>
      <c r="E127" s="15" t="n"/>
      <c r="F127" s="15" t="n"/>
      <c r="G127" s="15">
        <f>IF(AND(C127&lt;&gt;"",F127&lt;&gt;"",C127&lt;&gt;0),ROUND((F127-C127)/C127*100,1),"")</f>
        <v/>
      </c>
      <c r="H127" s="24">
        <f>IF(G127="","",IF(ABS(G127)&lt;=10,"✔ Accept","✘ Reject"))</f>
        <v/>
      </c>
    </row>
    <row r="128" ht="16" customHeight="1">
      <c r="A128" s="29" t="n"/>
      <c r="B128" s="17" t="n"/>
      <c r="C128" s="17" t="n"/>
      <c r="D128" s="17" t="n"/>
      <c r="E128" s="17" t="n"/>
      <c r="F128" s="17" t="n"/>
      <c r="G128" s="17">
        <f>IF(AND(C128&lt;&gt;"",F128&lt;&gt;"",C128&lt;&gt;0),ROUND((F128-C128)/C128*100,1),"")</f>
        <v/>
      </c>
      <c r="H128" s="23">
        <f>IF(G128="","",IF(ABS(G128)&lt;=10,"✔ Accept","✘ Reject"))</f>
        <v/>
      </c>
    </row>
    <row r="129" ht="16" customHeight="1">
      <c r="A129" s="30" t="n"/>
      <c r="B129" s="15" t="n"/>
      <c r="C129" s="15" t="n"/>
      <c r="D129" s="15" t="n"/>
      <c r="E129" s="15" t="n"/>
      <c r="F129" s="15" t="n"/>
      <c r="G129" s="15">
        <f>IF(AND(C129&lt;&gt;"",F129&lt;&gt;"",C129&lt;&gt;0),ROUND((F129-C129)/C129*100,1),"")</f>
        <v/>
      </c>
      <c r="H129" s="24">
        <f>IF(G129="","",IF(ABS(G129)&lt;=10,"✔ Accept","✘ Reject"))</f>
        <v/>
      </c>
    </row>
    <row r="130" ht="18" customHeight="1">
      <c r="A130" s="31" t="inlineStr">
        <is>
          <t>SYSTEM TOTAL GPM</t>
        </is>
      </c>
      <c r="C130" s="32">
        <f>IFERROR(SUM(C90:C129),"")</f>
        <v/>
      </c>
      <c r="D130" s="32">
        <f>IFERROR(SUM(D90:D129),"")</f>
        <v/>
      </c>
      <c r="E130" s="32">
        <f>IFERROR(SUM(E90:E129),"")</f>
        <v/>
      </c>
      <c r="F130" s="32">
        <f>IFERROR(SUM(F90:F129),"")</f>
        <v/>
      </c>
      <c r="G130" s="34" t="n"/>
      <c r="H130" s="34" t="n"/>
    </row>
    <row r="131" ht="6" customHeight="1"/>
    <row r="132" ht="6" customHeight="1">
      <c r="A132" s="3" t="n"/>
    </row>
    <row r="133" ht="18" customHeight="1">
      <c r="A133" s="22" t="inlineStr">
        <is>
          <t>Your HVAC Co.  •  HVAC Test &amp; Balance Report  •  Rogers, AR  •  (555) 867-5309  •  www.yourhvac.com  •  NEBB / AABC Certified</t>
        </is>
      </c>
    </row>
  </sheetData>
  <mergeCells count="13">
    <mergeCell ref="A130:B130"/>
    <mergeCell ref="A3:H3"/>
    <mergeCell ref="A20:H20"/>
    <mergeCell ref="A2:H2"/>
    <mergeCell ref="F1:H1"/>
    <mergeCell ref="A54:H54"/>
    <mergeCell ref="A71:H71"/>
    <mergeCell ref="A1:E1"/>
    <mergeCell ref="A132:H132"/>
    <mergeCell ref="A5:H5"/>
    <mergeCell ref="A37:H37"/>
    <mergeCell ref="A133:H133"/>
    <mergeCell ref="A88:H88"/>
  </mergeCell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H105"/>
  <sheetViews>
    <sheetView showGridLines="0" workbookViewId="0">
      <selection activeCell="A1" sqref="A1"/>
    </sheetView>
  </sheetViews>
  <sheetFormatPr baseColWidth="8" defaultRowHeight="15"/>
  <cols>
    <col width="5" customWidth="1" min="1" max="1"/>
    <col width="22" customWidth="1" min="2" max="2"/>
    <col width="12" customWidth="1" min="3" max="3"/>
    <col width="12" customWidth="1" min="4" max="4"/>
    <col width="12" customWidth="1" min="5" max="5"/>
    <col width="12" customWidth="1" min="6" max="6"/>
    <col width="12" customWidth="1" min="7" max="7"/>
    <col width="12" customWidth="1" min="8" max="8"/>
  </cols>
  <sheetData>
    <row r="1" ht="30" customHeight="1">
      <c r="A1" s="1" t="inlineStr">
        <is>
          <t>Your HVAC Co.</t>
        </is>
      </c>
      <c r="F1" s="2" t="inlineStr">
        <is>
          <t>EQUIPMENT PERFORMANCE DATA</t>
        </is>
      </c>
    </row>
    <row r="2" ht="6" customHeight="1">
      <c r="A2" s="3" t="n"/>
    </row>
    <row r="3" ht="16" customHeight="1">
      <c r="A3" s="4" t="inlineStr">
        <is>
          <t>HVAC Test &amp; Balance Report  •  Rogers, AR  •  (555) 867-5309  •  www.yourhvac.com  •  NEBB / AABC Certified TAB Agency</t>
        </is>
      </c>
    </row>
    <row r="4" ht="6" customHeight="1"/>
    <row r="5" ht="22" customHeight="1">
      <c r="A5" s="7" t="inlineStr">
        <is>
          <t xml:space="preserve">  ❄️  SECTION 9 — COOLING COIL PERFORMANCE DATA</t>
        </is>
      </c>
      <c r="B5" s="8" t="n"/>
      <c r="C5" s="8" t="n"/>
      <c r="D5" s="8" t="n"/>
      <c r="E5" s="8" t="n"/>
      <c r="F5" s="8" t="n"/>
      <c r="G5" s="8" t="n"/>
      <c r="H5" s="8" t="n"/>
    </row>
    <row r="6" ht="16" customHeight="1">
      <c r="A6" s="25" t="inlineStr">
        <is>
          <t xml:space="preserve">  AHU-1 Cooling Coil</t>
        </is>
      </c>
      <c r="B6" s="26" t="n"/>
      <c r="C6" s="26" t="n"/>
      <c r="D6" s="26" t="n"/>
      <c r="E6" s="26" t="n"/>
      <c r="F6" s="26" t="n"/>
      <c r="G6" s="26" t="n"/>
      <c r="H6" s="26" t="n"/>
    </row>
    <row r="7" ht="14" customHeight="1">
      <c r="A7" s="27" t="inlineStr">
        <is>
          <t>Parameter</t>
        </is>
      </c>
      <c r="B7" s="27" t="inlineStr">
        <is>
          <t>Design Value</t>
        </is>
      </c>
      <c r="C7" s="27" t="inlineStr">
        <is>
          <t>Measured Value</t>
        </is>
      </c>
      <c r="D7" s="27" t="inlineStr">
        <is>
          <t>Unit</t>
        </is>
      </c>
      <c r="E7" s="27" t="inlineStr">
        <is>
          <t>% Dev.</t>
        </is>
      </c>
      <c r="F7" s="27" t="inlineStr">
        <is>
          <t>Spec / Tolerance</t>
        </is>
      </c>
      <c r="G7" s="27" t="inlineStr">
        <is>
          <t>Status</t>
        </is>
      </c>
      <c r="H7" s="27" t="inlineStr">
        <is>
          <t>Notes</t>
        </is>
      </c>
    </row>
    <row r="8" ht="16" customHeight="1">
      <c r="A8" s="14" t="inlineStr">
        <is>
          <t>Entering Air DB Temp</t>
        </is>
      </c>
      <c r="B8" s="15" t="inlineStr"/>
      <c r="C8" s="28" t="inlineStr"/>
      <c r="D8" s="15" t="inlineStr">
        <is>
          <t>°F</t>
        </is>
      </c>
      <c r="E8" s="15">
        <f>IF(AND(B8&lt;&gt;"",C8&lt;&gt;"",B8&lt;&gt;0),ROUND((C8-B8)/B8*100,1),"")</f>
        <v/>
      </c>
      <c r="F8" s="15" t="inlineStr">
        <is>
          <t>Per design</t>
        </is>
      </c>
      <c r="G8" s="24">
        <f>IF(E8="","",IF(ABS(E8)&lt;=10,"✔ Accept","✘ Reject"))</f>
        <v/>
      </c>
      <c r="H8" s="15" t="inlineStr"/>
    </row>
    <row r="9" ht="16" customHeight="1">
      <c r="A9" s="16" t="inlineStr">
        <is>
          <t>Entering Air WB Temp</t>
        </is>
      </c>
      <c r="B9" s="17" t="inlineStr"/>
      <c r="C9" s="28" t="inlineStr"/>
      <c r="D9" s="17" t="inlineStr">
        <is>
          <t>°F</t>
        </is>
      </c>
      <c r="E9" s="17">
        <f>IF(AND(B9&lt;&gt;"",C9&lt;&gt;"",B9&lt;&gt;0),ROUND((C9-B9)/B9*100,1),"")</f>
        <v/>
      </c>
      <c r="F9" s="17" t="inlineStr">
        <is>
          <t>Per design</t>
        </is>
      </c>
      <c r="G9" s="23">
        <f>IF(E9="","",IF(ABS(E9)&lt;=10,"✔ Accept","✘ Reject"))</f>
        <v/>
      </c>
      <c r="H9" s="17" t="inlineStr"/>
    </row>
    <row r="10" ht="16" customHeight="1">
      <c r="A10" s="14" t="inlineStr">
        <is>
          <t>Leaving Air DB Temp</t>
        </is>
      </c>
      <c r="B10" s="15" t="inlineStr"/>
      <c r="C10" s="28" t="inlineStr"/>
      <c r="D10" s="15" t="inlineStr">
        <is>
          <t>°F</t>
        </is>
      </c>
      <c r="E10" s="15">
        <f>IF(AND(B10&lt;&gt;"",C10&lt;&gt;"",B10&lt;&gt;0),ROUND((C10-B10)/B10*100,1),"")</f>
        <v/>
      </c>
      <c r="F10" s="15" t="inlineStr">
        <is>
          <t>Per design</t>
        </is>
      </c>
      <c r="G10" s="24">
        <f>IF(E10="","",IF(ABS(E10)&lt;=10,"✔ Accept","✘ Reject"))</f>
        <v/>
      </c>
      <c r="H10" s="15" t="inlineStr"/>
    </row>
    <row r="11" ht="16" customHeight="1">
      <c r="A11" s="16" t="inlineStr">
        <is>
          <t>Leaving Air WB Temp</t>
        </is>
      </c>
      <c r="B11" s="17" t="inlineStr"/>
      <c r="C11" s="28" t="inlineStr"/>
      <c r="D11" s="17" t="inlineStr">
        <is>
          <t>°F</t>
        </is>
      </c>
      <c r="E11" s="17">
        <f>IF(AND(B11&lt;&gt;"",C11&lt;&gt;"",B11&lt;&gt;0),ROUND((C11-B11)/B11*100,1),"")</f>
        <v/>
      </c>
      <c r="F11" s="17" t="inlineStr">
        <is>
          <t>Per design</t>
        </is>
      </c>
      <c r="G11" s="23">
        <f>IF(E11="","",IF(ABS(E11)&lt;=10,"✔ Accept","✘ Reject"))</f>
        <v/>
      </c>
      <c r="H11" s="17" t="inlineStr"/>
    </row>
    <row r="12" ht="16" customHeight="1">
      <c r="A12" s="14" t="inlineStr">
        <is>
          <t>Air-Side ΔT (DB)</t>
        </is>
      </c>
      <c r="B12" s="15" t="inlineStr"/>
      <c r="C12" s="28" t="inlineStr"/>
      <c r="D12" s="15" t="inlineStr">
        <is>
          <t>°F</t>
        </is>
      </c>
      <c r="E12" s="15">
        <f>IF(AND(B12&lt;&gt;"",C12&lt;&gt;"",B12&lt;&gt;0),ROUND((C12-B12)/B12*100,1),"")</f>
        <v/>
      </c>
      <c r="F12" s="15" t="inlineStr">
        <is>
          <t>Per design</t>
        </is>
      </c>
      <c r="G12" s="24">
        <f>IF(E12="","",IF(ABS(E12)&lt;=10,"✔ Accept","✘ Reject"))</f>
        <v/>
      </c>
      <c r="H12" s="15" t="inlineStr"/>
    </row>
    <row r="13" ht="16" customHeight="1">
      <c r="A13" s="16" t="inlineStr">
        <is>
          <t>Total Airflow (CFM)</t>
        </is>
      </c>
      <c r="B13" s="17" t="inlineStr"/>
      <c r="C13" s="28" t="inlineStr"/>
      <c r="D13" s="17" t="inlineStr">
        <is>
          <t>CFM</t>
        </is>
      </c>
      <c r="E13" s="17">
        <f>IF(AND(B13&lt;&gt;"",C13&lt;&gt;"",B13&lt;&gt;0),ROUND((C13-B13)/B13*100,1),"")</f>
        <v/>
      </c>
      <c r="F13" s="17" t="inlineStr">
        <is>
          <t>±10%</t>
        </is>
      </c>
      <c r="G13" s="23">
        <f>IF(E13="","",IF(ABS(E13)&lt;=10,"✔ Accept","✘ Reject"))</f>
        <v/>
      </c>
      <c r="H13" s="17" t="inlineStr"/>
    </row>
    <row r="14" ht="16" customHeight="1">
      <c r="A14" s="14" t="inlineStr">
        <is>
          <t>Entering Water Temp (CHW)</t>
        </is>
      </c>
      <c r="B14" s="15" t="inlineStr"/>
      <c r="C14" s="28" t="inlineStr"/>
      <c r="D14" s="15" t="inlineStr">
        <is>
          <t>°F</t>
        </is>
      </c>
      <c r="E14" s="15">
        <f>IF(AND(B14&lt;&gt;"",C14&lt;&gt;"",B14&lt;&gt;0),ROUND((C14-B14)/B14*100,1),"")</f>
        <v/>
      </c>
      <c r="F14" s="15" t="inlineStr">
        <is>
          <t>44–46°F typical</t>
        </is>
      </c>
      <c r="G14" s="24">
        <f>IF(E14="","",IF(ABS(E14)&lt;=10,"✔ Accept","✘ Reject"))</f>
        <v/>
      </c>
      <c r="H14" s="15" t="inlineStr"/>
    </row>
    <row r="15" ht="16" customHeight="1">
      <c r="A15" s="16" t="inlineStr">
        <is>
          <t>Leaving Water Temp (CHW)</t>
        </is>
      </c>
      <c r="B15" s="17" t="inlineStr"/>
      <c r="C15" s="28" t="inlineStr"/>
      <c r="D15" s="17" t="inlineStr">
        <is>
          <t>°F</t>
        </is>
      </c>
      <c r="E15" s="17">
        <f>IF(AND(B15&lt;&gt;"",C15&lt;&gt;"",B15&lt;&gt;0),ROUND((C15-B15)/B15*100,1),"")</f>
        <v/>
      </c>
      <c r="F15" s="17" t="inlineStr">
        <is>
          <t>54–56°F typical</t>
        </is>
      </c>
      <c r="G15" s="23">
        <f>IF(E15="","",IF(ABS(E15)&lt;=10,"✔ Accept","✘ Reject"))</f>
        <v/>
      </c>
      <c r="H15" s="17" t="inlineStr"/>
    </row>
    <row r="16" ht="16" customHeight="1">
      <c r="A16" s="14" t="inlineStr">
        <is>
          <t>Water-Side ΔT</t>
        </is>
      </c>
      <c r="B16" s="15" t="inlineStr"/>
      <c r="C16" s="28" t="inlineStr"/>
      <c r="D16" s="15" t="inlineStr">
        <is>
          <t>°F</t>
        </is>
      </c>
      <c r="E16" s="15">
        <f>IF(AND(B16&lt;&gt;"",C16&lt;&gt;"",B16&lt;&gt;0),ROUND((C16-B16)/B16*100,1),"")</f>
        <v/>
      </c>
      <c r="F16" s="15" t="inlineStr">
        <is>
          <t>Per design</t>
        </is>
      </c>
      <c r="G16" s="24">
        <f>IF(E16="","",IF(ABS(E16)&lt;=10,"✔ Accept","✘ Reject"))</f>
        <v/>
      </c>
      <c r="H16" s="15" t="inlineStr"/>
    </row>
    <row r="17" ht="16" customHeight="1">
      <c r="A17" s="16" t="inlineStr">
        <is>
          <t>Water Flow Rate (GPM)</t>
        </is>
      </c>
      <c r="B17" s="17" t="inlineStr"/>
      <c r="C17" s="28" t="inlineStr"/>
      <c r="D17" s="17" t="inlineStr">
        <is>
          <t>GPM</t>
        </is>
      </c>
      <c r="E17" s="17">
        <f>IF(AND(B17&lt;&gt;"",C17&lt;&gt;"",B17&lt;&gt;0),ROUND((C17-B17)/B17*100,1),"")</f>
        <v/>
      </c>
      <c r="F17" s="17" t="inlineStr">
        <is>
          <t>±10%</t>
        </is>
      </c>
      <c r="G17" s="23">
        <f>IF(E17="","",IF(ABS(E17)&lt;=10,"✔ Accept","✘ Reject"))</f>
        <v/>
      </c>
      <c r="H17" s="17" t="inlineStr"/>
    </row>
    <row r="18" ht="16" customHeight="1">
      <c r="A18" s="14" t="inlineStr">
        <is>
          <t>Coil Entering Static Pressure</t>
        </is>
      </c>
      <c r="B18" s="15" t="inlineStr"/>
      <c r="C18" s="28" t="inlineStr"/>
      <c r="D18" s="15" t="inlineStr">
        <is>
          <t>in. w.c.</t>
        </is>
      </c>
      <c r="E18" s="15">
        <f>IF(AND(B18&lt;&gt;"",C18&lt;&gt;"",B18&lt;&gt;0),ROUND((C18-B18)/B18*100,1),"")</f>
        <v/>
      </c>
      <c r="F18" s="15" t="inlineStr">
        <is>
          <t>Per design</t>
        </is>
      </c>
      <c r="G18" s="24">
        <f>IF(E18="","",IF(ABS(E18)&lt;=10,"✔ Accept","✘ Reject"))</f>
        <v/>
      </c>
      <c r="H18" s="15" t="inlineStr"/>
    </row>
    <row r="19" ht="16" customHeight="1">
      <c r="A19" s="16" t="inlineStr">
        <is>
          <t>Coil Leaving Static Pressure</t>
        </is>
      </c>
      <c r="B19" s="17" t="inlineStr"/>
      <c r="C19" s="28" t="inlineStr"/>
      <c r="D19" s="17" t="inlineStr">
        <is>
          <t>in. w.c.</t>
        </is>
      </c>
      <c r="E19" s="17">
        <f>IF(AND(B19&lt;&gt;"",C19&lt;&gt;"",B19&lt;&gt;0),ROUND((C19-B19)/B19*100,1),"")</f>
        <v/>
      </c>
      <c r="F19" s="17" t="inlineStr">
        <is>
          <t>Per design</t>
        </is>
      </c>
      <c r="G19" s="23">
        <f>IF(E19="","",IF(ABS(E19)&lt;=10,"✔ Accept","✘ Reject"))</f>
        <v/>
      </c>
      <c r="H19" s="17" t="inlineStr"/>
    </row>
    <row r="20" ht="16" customHeight="1">
      <c r="A20" s="14" t="inlineStr">
        <is>
          <t>Coil Air-Side ΔP</t>
        </is>
      </c>
      <c r="B20" s="15" t="inlineStr"/>
      <c r="C20" s="28" t="inlineStr"/>
      <c r="D20" s="15" t="inlineStr">
        <is>
          <t>in. w.c.</t>
        </is>
      </c>
      <c r="E20" s="15">
        <f>IF(AND(B20&lt;&gt;"",C20&lt;&gt;"",B20&lt;&gt;0),ROUND((C20-B20)/B20*100,1),"")</f>
        <v/>
      </c>
      <c r="F20" s="15" t="inlineStr">
        <is>
          <t>≤ design ΔP</t>
        </is>
      </c>
      <c r="G20" s="24">
        <f>IF(E20="","",IF(ABS(E20)&lt;=10,"✔ Accept","✘ Reject"))</f>
        <v/>
      </c>
      <c r="H20" s="15" t="inlineStr"/>
    </row>
    <row r="21" ht="16" customHeight="1">
      <c r="A21" s="16" t="inlineStr">
        <is>
          <t>Calculated Coil Capacity (tons)</t>
        </is>
      </c>
      <c r="B21" s="17" t="inlineStr"/>
      <c r="C21" s="28" t="inlineStr"/>
      <c r="D21" s="17" t="inlineStr">
        <is>
          <t>tons</t>
        </is>
      </c>
      <c r="E21" s="17">
        <f>IF(AND(B21&lt;&gt;"",C21&lt;&gt;"",B21&lt;&gt;0),ROUND((C21-B21)/B21*100,1),"")</f>
        <v/>
      </c>
      <c r="F21" s="17" t="inlineStr">
        <is>
          <t>Per design</t>
        </is>
      </c>
      <c r="G21" s="23">
        <f>IF(E21="","",IF(ABS(E21)&lt;=10,"✔ Accept","✘ Reject"))</f>
        <v/>
      </c>
      <c r="H21" s="17" t="inlineStr"/>
    </row>
    <row r="22" ht="6" customHeight="1"/>
    <row r="23" ht="16" customHeight="1">
      <c r="A23" s="25" t="inlineStr">
        <is>
          <t xml:space="preserve">  AHU-2 Cooling Coil</t>
        </is>
      </c>
      <c r="B23" s="26" t="n"/>
      <c r="C23" s="26" t="n"/>
      <c r="D23" s="26" t="n"/>
      <c r="E23" s="26" t="n"/>
      <c r="F23" s="26" t="n"/>
      <c r="G23" s="26" t="n"/>
      <c r="H23" s="26" t="n"/>
    </row>
    <row r="24" ht="14" customHeight="1">
      <c r="A24" s="27" t="inlineStr">
        <is>
          <t>Parameter</t>
        </is>
      </c>
      <c r="B24" s="27" t="inlineStr">
        <is>
          <t>Design Value</t>
        </is>
      </c>
      <c r="C24" s="27" t="inlineStr">
        <is>
          <t>Measured Value</t>
        </is>
      </c>
      <c r="D24" s="27" t="inlineStr">
        <is>
          <t>Unit</t>
        </is>
      </c>
      <c r="E24" s="27" t="inlineStr">
        <is>
          <t>% Dev.</t>
        </is>
      </c>
      <c r="F24" s="27" t="inlineStr">
        <is>
          <t>Spec / Tolerance</t>
        </is>
      </c>
      <c r="G24" s="27" t="inlineStr">
        <is>
          <t>Status</t>
        </is>
      </c>
      <c r="H24" s="27" t="inlineStr">
        <is>
          <t>Notes</t>
        </is>
      </c>
    </row>
    <row r="25" ht="16" customHeight="1">
      <c r="A25" s="14" t="inlineStr">
        <is>
          <t>Entering Air DB Temp</t>
        </is>
      </c>
      <c r="B25" s="15" t="inlineStr"/>
      <c r="C25" s="28" t="inlineStr"/>
      <c r="D25" s="15" t="inlineStr">
        <is>
          <t>°F</t>
        </is>
      </c>
      <c r="E25" s="15">
        <f>IF(AND(B25&lt;&gt;"",C25&lt;&gt;"",B25&lt;&gt;0),ROUND((C25-B25)/B25*100,1),"")</f>
        <v/>
      </c>
      <c r="F25" s="15" t="inlineStr">
        <is>
          <t>Per design</t>
        </is>
      </c>
      <c r="G25" s="24">
        <f>IF(E25="","",IF(ABS(E25)&lt;=10,"✔ Accept","✘ Reject"))</f>
        <v/>
      </c>
      <c r="H25" s="15" t="inlineStr"/>
    </row>
    <row r="26" ht="16" customHeight="1">
      <c r="A26" s="16" t="inlineStr">
        <is>
          <t>Entering Air WB Temp</t>
        </is>
      </c>
      <c r="B26" s="17" t="inlineStr"/>
      <c r="C26" s="28" t="inlineStr"/>
      <c r="D26" s="17" t="inlineStr">
        <is>
          <t>°F</t>
        </is>
      </c>
      <c r="E26" s="17">
        <f>IF(AND(B26&lt;&gt;"",C26&lt;&gt;"",B26&lt;&gt;0),ROUND((C26-B26)/B26*100,1),"")</f>
        <v/>
      </c>
      <c r="F26" s="17" t="inlineStr">
        <is>
          <t>Per design</t>
        </is>
      </c>
      <c r="G26" s="23">
        <f>IF(E26="","",IF(ABS(E26)&lt;=10,"✔ Accept","✘ Reject"))</f>
        <v/>
      </c>
      <c r="H26" s="17" t="inlineStr"/>
    </row>
    <row r="27" ht="16" customHeight="1">
      <c r="A27" s="14" t="inlineStr">
        <is>
          <t>Leaving Air DB Temp</t>
        </is>
      </c>
      <c r="B27" s="15" t="inlineStr"/>
      <c r="C27" s="28" t="inlineStr"/>
      <c r="D27" s="15" t="inlineStr">
        <is>
          <t>°F</t>
        </is>
      </c>
      <c r="E27" s="15">
        <f>IF(AND(B27&lt;&gt;"",C27&lt;&gt;"",B27&lt;&gt;0),ROUND((C27-B27)/B27*100,1),"")</f>
        <v/>
      </c>
      <c r="F27" s="15" t="inlineStr">
        <is>
          <t>Per design</t>
        </is>
      </c>
      <c r="G27" s="24">
        <f>IF(E27="","",IF(ABS(E27)&lt;=10,"✔ Accept","✘ Reject"))</f>
        <v/>
      </c>
      <c r="H27" s="15" t="inlineStr"/>
    </row>
    <row r="28" ht="16" customHeight="1">
      <c r="A28" s="16" t="inlineStr">
        <is>
          <t>Leaving Air WB Temp</t>
        </is>
      </c>
      <c r="B28" s="17" t="inlineStr"/>
      <c r="C28" s="28" t="inlineStr"/>
      <c r="D28" s="17" t="inlineStr">
        <is>
          <t>°F</t>
        </is>
      </c>
      <c r="E28" s="17">
        <f>IF(AND(B28&lt;&gt;"",C28&lt;&gt;"",B28&lt;&gt;0),ROUND((C28-B28)/B28*100,1),"")</f>
        <v/>
      </c>
      <c r="F28" s="17" t="inlineStr">
        <is>
          <t>Per design</t>
        </is>
      </c>
      <c r="G28" s="23">
        <f>IF(E28="","",IF(ABS(E28)&lt;=10,"✔ Accept","✘ Reject"))</f>
        <v/>
      </c>
      <c r="H28" s="17" t="inlineStr"/>
    </row>
    <row r="29" ht="16" customHeight="1">
      <c r="A29" s="14" t="inlineStr">
        <is>
          <t>Air-Side ΔT (DB)</t>
        </is>
      </c>
      <c r="B29" s="15" t="inlineStr"/>
      <c r="C29" s="28" t="inlineStr"/>
      <c r="D29" s="15" t="inlineStr">
        <is>
          <t>°F</t>
        </is>
      </c>
      <c r="E29" s="15">
        <f>IF(AND(B29&lt;&gt;"",C29&lt;&gt;"",B29&lt;&gt;0),ROUND((C29-B29)/B29*100,1),"")</f>
        <v/>
      </c>
      <c r="F29" s="15" t="inlineStr">
        <is>
          <t>Per design</t>
        </is>
      </c>
      <c r="G29" s="24">
        <f>IF(E29="","",IF(ABS(E29)&lt;=10,"✔ Accept","✘ Reject"))</f>
        <v/>
      </c>
      <c r="H29" s="15" t="inlineStr"/>
    </row>
    <row r="30" ht="16" customHeight="1">
      <c r="A30" s="16" t="inlineStr">
        <is>
          <t>Total Airflow (CFM)</t>
        </is>
      </c>
      <c r="B30" s="17" t="inlineStr"/>
      <c r="C30" s="28" t="inlineStr"/>
      <c r="D30" s="17" t="inlineStr">
        <is>
          <t>CFM</t>
        </is>
      </c>
      <c r="E30" s="17">
        <f>IF(AND(B30&lt;&gt;"",C30&lt;&gt;"",B30&lt;&gt;0),ROUND((C30-B30)/B30*100,1),"")</f>
        <v/>
      </c>
      <c r="F30" s="17" t="inlineStr">
        <is>
          <t>±10%</t>
        </is>
      </c>
      <c r="G30" s="23">
        <f>IF(E30="","",IF(ABS(E30)&lt;=10,"✔ Accept","✘ Reject"))</f>
        <v/>
      </c>
      <c r="H30" s="17" t="inlineStr"/>
    </row>
    <row r="31" ht="16" customHeight="1">
      <c r="A31" s="14" t="inlineStr">
        <is>
          <t>Entering Water Temp (CHW)</t>
        </is>
      </c>
      <c r="B31" s="15" t="inlineStr"/>
      <c r="C31" s="28" t="inlineStr"/>
      <c r="D31" s="15" t="inlineStr">
        <is>
          <t>°F</t>
        </is>
      </c>
      <c r="E31" s="15">
        <f>IF(AND(B31&lt;&gt;"",C31&lt;&gt;"",B31&lt;&gt;0),ROUND((C31-B31)/B31*100,1),"")</f>
        <v/>
      </c>
      <c r="F31" s="15" t="inlineStr">
        <is>
          <t>44–46°F typical</t>
        </is>
      </c>
      <c r="G31" s="24">
        <f>IF(E31="","",IF(ABS(E31)&lt;=10,"✔ Accept","✘ Reject"))</f>
        <v/>
      </c>
      <c r="H31" s="15" t="inlineStr"/>
    </row>
    <row r="32" ht="16" customHeight="1">
      <c r="A32" s="16" t="inlineStr">
        <is>
          <t>Leaving Water Temp (CHW)</t>
        </is>
      </c>
      <c r="B32" s="17" t="inlineStr"/>
      <c r="C32" s="28" t="inlineStr"/>
      <c r="D32" s="17" t="inlineStr">
        <is>
          <t>°F</t>
        </is>
      </c>
      <c r="E32" s="17">
        <f>IF(AND(B32&lt;&gt;"",C32&lt;&gt;"",B32&lt;&gt;0),ROUND((C32-B32)/B32*100,1),"")</f>
        <v/>
      </c>
      <c r="F32" s="17" t="inlineStr">
        <is>
          <t>54–56°F typical</t>
        </is>
      </c>
      <c r="G32" s="23">
        <f>IF(E32="","",IF(ABS(E32)&lt;=10,"✔ Accept","✘ Reject"))</f>
        <v/>
      </c>
      <c r="H32" s="17" t="inlineStr"/>
    </row>
    <row r="33" ht="16" customHeight="1">
      <c r="A33" s="14" t="inlineStr">
        <is>
          <t>Water-Side ΔT</t>
        </is>
      </c>
      <c r="B33" s="15" t="inlineStr"/>
      <c r="C33" s="28" t="inlineStr"/>
      <c r="D33" s="15" t="inlineStr">
        <is>
          <t>°F</t>
        </is>
      </c>
      <c r="E33" s="15">
        <f>IF(AND(B33&lt;&gt;"",C33&lt;&gt;"",B33&lt;&gt;0),ROUND((C33-B33)/B33*100,1),"")</f>
        <v/>
      </c>
      <c r="F33" s="15" t="inlineStr">
        <is>
          <t>Per design</t>
        </is>
      </c>
      <c r="G33" s="24">
        <f>IF(E33="","",IF(ABS(E33)&lt;=10,"✔ Accept","✘ Reject"))</f>
        <v/>
      </c>
      <c r="H33" s="15" t="inlineStr"/>
    </row>
    <row r="34" ht="16" customHeight="1">
      <c r="A34" s="16" t="inlineStr">
        <is>
          <t>Water Flow Rate (GPM)</t>
        </is>
      </c>
      <c r="B34" s="17" t="inlineStr"/>
      <c r="C34" s="28" t="inlineStr"/>
      <c r="D34" s="17" t="inlineStr">
        <is>
          <t>GPM</t>
        </is>
      </c>
      <c r="E34" s="17">
        <f>IF(AND(B34&lt;&gt;"",C34&lt;&gt;"",B34&lt;&gt;0),ROUND((C34-B34)/B34*100,1),"")</f>
        <v/>
      </c>
      <c r="F34" s="17" t="inlineStr">
        <is>
          <t>±10%</t>
        </is>
      </c>
      <c r="G34" s="23">
        <f>IF(E34="","",IF(ABS(E34)&lt;=10,"✔ Accept","✘ Reject"))</f>
        <v/>
      </c>
      <c r="H34" s="17" t="inlineStr"/>
    </row>
    <row r="35" ht="16" customHeight="1">
      <c r="A35" s="14" t="inlineStr">
        <is>
          <t>Coil Entering Static Pressure</t>
        </is>
      </c>
      <c r="B35" s="15" t="inlineStr"/>
      <c r="C35" s="28" t="inlineStr"/>
      <c r="D35" s="15" t="inlineStr">
        <is>
          <t>in. w.c.</t>
        </is>
      </c>
      <c r="E35" s="15">
        <f>IF(AND(B35&lt;&gt;"",C35&lt;&gt;"",B35&lt;&gt;0),ROUND((C35-B35)/B35*100,1),"")</f>
        <v/>
      </c>
      <c r="F35" s="15" t="inlineStr">
        <is>
          <t>Per design</t>
        </is>
      </c>
      <c r="G35" s="24">
        <f>IF(E35="","",IF(ABS(E35)&lt;=10,"✔ Accept","✘ Reject"))</f>
        <v/>
      </c>
      <c r="H35" s="15" t="inlineStr"/>
    </row>
    <row r="36" ht="16" customHeight="1">
      <c r="A36" s="16" t="inlineStr">
        <is>
          <t>Coil Leaving Static Pressure</t>
        </is>
      </c>
      <c r="B36" s="17" t="inlineStr"/>
      <c r="C36" s="28" t="inlineStr"/>
      <c r="D36" s="17" t="inlineStr">
        <is>
          <t>in. w.c.</t>
        </is>
      </c>
      <c r="E36" s="17">
        <f>IF(AND(B36&lt;&gt;"",C36&lt;&gt;"",B36&lt;&gt;0),ROUND((C36-B36)/B36*100,1),"")</f>
        <v/>
      </c>
      <c r="F36" s="17" t="inlineStr">
        <is>
          <t>Per design</t>
        </is>
      </c>
      <c r="G36" s="23">
        <f>IF(E36="","",IF(ABS(E36)&lt;=10,"✔ Accept","✘ Reject"))</f>
        <v/>
      </c>
      <c r="H36" s="17" t="inlineStr"/>
    </row>
    <row r="37" ht="16" customHeight="1">
      <c r="A37" s="14" t="inlineStr">
        <is>
          <t>Coil Air-Side ΔP</t>
        </is>
      </c>
      <c r="B37" s="15" t="inlineStr"/>
      <c r="C37" s="28" t="inlineStr"/>
      <c r="D37" s="15" t="inlineStr">
        <is>
          <t>in. w.c.</t>
        </is>
      </c>
      <c r="E37" s="15">
        <f>IF(AND(B37&lt;&gt;"",C37&lt;&gt;"",B37&lt;&gt;0),ROUND((C37-B37)/B37*100,1),"")</f>
        <v/>
      </c>
      <c r="F37" s="15" t="inlineStr">
        <is>
          <t>≤ design ΔP</t>
        </is>
      </c>
      <c r="G37" s="24">
        <f>IF(E37="","",IF(ABS(E37)&lt;=10,"✔ Accept","✘ Reject"))</f>
        <v/>
      </c>
      <c r="H37" s="15" t="inlineStr"/>
    </row>
    <row r="38" ht="16" customHeight="1">
      <c r="A38" s="16" t="inlineStr">
        <is>
          <t>Calculated Coil Capacity (tons)</t>
        </is>
      </c>
      <c r="B38" s="17" t="inlineStr"/>
      <c r="C38" s="28" t="inlineStr"/>
      <c r="D38" s="17" t="inlineStr">
        <is>
          <t>tons</t>
        </is>
      </c>
      <c r="E38" s="17">
        <f>IF(AND(B38&lt;&gt;"",C38&lt;&gt;"",B38&lt;&gt;0),ROUND((C38-B38)/B38*100,1),"")</f>
        <v/>
      </c>
      <c r="F38" s="17" t="inlineStr">
        <is>
          <t>Per design</t>
        </is>
      </c>
      <c r="G38" s="23">
        <f>IF(E38="","",IF(ABS(E38)&lt;=10,"✔ Accept","✘ Reject"))</f>
        <v/>
      </c>
      <c r="H38" s="17" t="inlineStr"/>
    </row>
    <row r="39" ht="6" customHeight="1"/>
    <row r="40" ht="16" customHeight="1">
      <c r="A40" s="25" t="inlineStr">
        <is>
          <t xml:space="preserve">  RTU-1 DX Coil</t>
        </is>
      </c>
      <c r="B40" s="26" t="n"/>
      <c r="C40" s="26" t="n"/>
      <c r="D40" s="26" t="n"/>
      <c r="E40" s="26" t="n"/>
      <c r="F40" s="26" t="n"/>
      <c r="G40" s="26" t="n"/>
      <c r="H40" s="26" t="n"/>
    </row>
    <row r="41" ht="14" customHeight="1">
      <c r="A41" s="27" t="inlineStr">
        <is>
          <t>Parameter</t>
        </is>
      </c>
      <c r="B41" s="27" t="inlineStr">
        <is>
          <t>Design Value</t>
        </is>
      </c>
      <c r="C41" s="27" t="inlineStr">
        <is>
          <t>Measured Value</t>
        </is>
      </c>
      <c r="D41" s="27" t="inlineStr">
        <is>
          <t>Unit</t>
        </is>
      </c>
      <c r="E41" s="27" t="inlineStr">
        <is>
          <t>% Dev.</t>
        </is>
      </c>
      <c r="F41" s="27" t="inlineStr">
        <is>
          <t>Spec / Tolerance</t>
        </is>
      </c>
      <c r="G41" s="27" t="inlineStr">
        <is>
          <t>Status</t>
        </is>
      </c>
      <c r="H41" s="27" t="inlineStr">
        <is>
          <t>Notes</t>
        </is>
      </c>
    </row>
    <row r="42" ht="16" customHeight="1">
      <c r="A42" s="14" t="inlineStr">
        <is>
          <t>Entering Air DB Temp</t>
        </is>
      </c>
      <c r="B42" s="15" t="inlineStr"/>
      <c r="C42" s="28" t="inlineStr"/>
      <c r="D42" s="15" t="inlineStr">
        <is>
          <t>°F</t>
        </is>
      </c>
      <c r="E42" s="15">
        <f>IF(AND(B42&lt;&gt;"",C42&lt;&gt;"",B42&lt;&gt;0),ROUND((C42-B42)/B42*100,1),"")</f>
        <v/>
      </c>
      <c r="F42" s="15" t="inlineStr">
        <is>
          <t>Per design</t>
        </is>
      </c>
      <c r="G42" s="24">
        <f>IF(E42="","",IF(ABS(E42)&lt;=10,"✔ Accept","✘ Reject"))</f>
        <v/>
      </c>
      <c r="H42" s="15" t="inlineStr"/>
    </row>
    <row r="43" ht="16" customHeight="1">
      <c r="A43" s="16" t="inlineStr">
        <is>
          <t>Entering Air WB Temp</t>
        </is>
      </c>
      <c r="B43" s="17" t="inlineStr"/>
      <c r="C43" s="28" t="inlineStr"/>
      <c r="D43" s="17" t="inlineStr">
        <is>
          <t>°F</t>
        </is>
      </c>
      <c r="E43" s="17">
        <f>IF(AND(B43&lt;&gt;"",C43&lt;&gt;"",B43&lt;&gt;0),ROUND((C43-B43)/B43*100,1),"")</f>
        <v/>
      </c>
      <c r="F43" s="17" t="inlineStr">
        <is>
          <t>Per design</t>
        </is>
      </c>
      <c r="G43" s="23">
        <f>IF(E43="","",IF(ABS(E43)&lt;=10,"✔ Accept","✘ Reject"))</f>
        <v/>
      </c>
      <c r="H43" s="17" t="inlineStr"/>
    </row>
    <row r="44" ht="16" customHeight="1">
      <c r="A44" s="14" t="inlineStr">
        <is>
          <t>Leaving Air DB Temp</t>
        </is>
      </c>
      <c r="B44" s="15" t="inlineStr"/>
      <c r="C44" s="28" t="inlineStr"/>
      <c r="D44" s="15" t="inlineStr">
        <is>
          <t>°F</t>
        </is>
      </c>
      <c r="E44" s="15">
        <f>IF(AND(B44&lt;&gt;"",C44&lt;&gt;"",B44&lt;&gt;0),ROUND((C44-B44)/B44*100,1),"")</f>
        <v/>
      </c>
      <c r="F44" s="15" t="inlineStr">
        <is>
          <t>Per design</t>
        </is>
      </c>
      <c r="G44" s="24">
        <f>IF(E44="","",IF(ABS(E44)&lt;=10,"✔ Accept","✘ Reject"))</f>
        <v/>
      </c>
      <c r="H44" s="15" t="inlineStr"/>
    </row>
    <row r="45" ht="16" customHeight="1">
      <c r="A45" s="16" t="inlineStr">
        <is>
          <t>Leaving Air WB Temp</t>
        </is>
      </c>
      <c r="B45" s="17" t="inlineStr"/>
      <c r="C45" s="28" t="inlineStr"/>
      <c r="D45" s="17" t="inlineStr">
        <is>
          <t>°F</t>
        </is>
      </c>
      <c r="E45" s="17">
        <f>IF(AND(B45&lt;&gt;"",C45&lt;&gt;"",B45&lt;&gt;0),ROUND((C45-B45)/B45*100,1),"")</f>
        <v/>
      </c>
      <c r="F45" s="17" t="inlineStr">
        <is>
          <t>Per design</t>
        </is>
      </c>
      <c r="G45" s="23">
        <f>IF(E45="","",IF(ABS(E45)&lt;=10,"✔ Accept","✘ Reject"))</f>
        <v/>
      </c>
      <c r="H45" s="17" t="inlineStr"/>
    </row>
    <row r="46" ht="16" customHeight="1">
      <c r="A46" s="14" t="inlineStr">
        <is>
          <t>Air-Side ΔT (DB)</t>
        </is>
      </c>
      <c r="B46" s="15" t="inlineStr"/>
      <c r="C46" s="28" t="inlineStr"/>
      <c r="D46" s="15" t="inlineStr">
        <is>
          <t>°F</t>
        </is>
      </c>
      <c r="E46" s="15">
        <f>IF(AND(B46&lt;&gt;"",C46&lt;&gt;"",B46&lt;&gt;0),ROUND((C46-B46)/B46*100,1),"")</f>
        <v/>
      </c>
      <c r="F46" s="15" t="inlineStr">
        <is>
          <t>Per design</t>
        </is>
      </c>
      <c r="G46" s="24">
        <f>IF(E46="","",IF(ABS(E46)&lt;=10,"✔ Accept","✘ Reject"))</f>
        <v/>
      </c>
      <c r="H46" s="15" t="inlineStr"/>
    </row>
    <row r="47" ht="16" customHeight="1">
      <c r="A47" s="16" t="inlineStr">
        <is>
          <t>Total Airflow (CFM)</t>
        </is>
      </c>
      <c r="B47" s="17" t="inlineStr"/>
      <c r="C47" s="28" t="inlineStr"/>
      <c r="D47" s="17" t="inlineStr">
        <is>
          <t>CFM</t>
        </is>
      </c>
      <c r="E47" s="17">
        <f>IF(AND(B47&lt;&gt;"",C47&lt;&gt;"",B47&lt;&gt;0),ROUND((C47-B47)/B47*100,1),"")</f>
        <v/>
      </c>
      <c r="F47" s="17" t="inlineStr">
        <is>
          <t>±10%</t>
        </is>
      </c>
      <c r="G47" s="23">
        <f>IF(E47="","",IF(ABS(E47)&lt;=10,"✔ Accept","✘ Reject"))</f>
        <v/>
      </c>
      <c r="H47" s="17" t="inlineStr"/>
    </row>
    <row r="48" ht="16" customHeight="1">
      <c r="A48" s="14" t="inlineStr">
        <is>
          <t>Entering Water Temp (CHW)</t>
        </is>
      </c>
      <c r="B48" s="15" t="inlineStr"/>
      <c r="C48" s="28" t="inlineStr"/>
      <c r="D48" s="15" t="inlineStr">
        <is>
          <t>°F</t>
        </is>
      </c>
      <c r="E48" s="15">
        <f>IF(AND(B48&lt;&gt;"",C48&lt;&gt;"",B48&lt;&gt;0),ROUND((C48-B48)/B48*100,1),"")</f>
        <v/>
      </c>
      <c r="F48" s="15" t="inlineStr">
        <is>
          <t>44–46°F typical</t>
        </is>
      </c>
      <c r="G48" s="24">
        <f>IF(E48="","",IF(ABS(E48)&lt;=10,"✔ Accept","✘ Reject"))</f>
        <v/>
      </c>
      <c r="H48" s="15" t="inlineStr"/>
    </row>
    <row r="49" ht="16" customHeight="1">
      <c r="A49" s="16" t="inlineStr">
        <is>
          <t>Leaving Water Temp (CHW)</t>
        </is>
      </c>
      <c r="B49" s="17" t="inlineStr"/>
      <c r="C49" s="28" t="inlineStr"/>
      <c r="D49" s="17" t="inlineStr">
        <is>
          <t>°F</t>
        </is>
      </c>
      <c r="E49" s="17">
        <f>IF(AND(B49&lt;&gt;"",C49&lt;&gt;"",B49&lt;&gt;0),ROUND((C49-B49)/B49*100,1),"")</f>
        <v/>
      </c>
      <c r="F49" s="17" t="inlineStr">
        <is>
          <t>54–56°F typical</t>
        </is>
      </c>
      <c r="G49" s="23">
        <f>IF(E49="","",IF(ABS(E49)&lt;=10,"✔ Accept","✘ Reject"))</f>
        <v/>
      </c>
      <c r="H49" s="17" t="inlineStr"/>
    </row>
    <row r="50" ht="16" customHeight="1">
      <c r="A50" s="14" t="inlineStr">
        <is>
          <t>Water-Side ΔT</t>
        </is>
      </c>
      <c r="B50" s="15" t="inlineStr"/>
      <c r="C50" s="28" t="inlineStr"/>
      <c r="D50" s="15" t="inlineStr">
        <is>
          <t>°F</t>
        </is>
      </c>
      <c r="E50" s="15">
        <f>IF(AND(B50&lt;&gt;"",C50&lt;&gt;"",B50&lt;&gt;0),ROUND((C50-B50)/B50*100,1),"")</f>
        <v/>
      </c>
      <c r="F50" s="15" t="inlineStr">
        <is>
          <t>Per design</t>
        </is>
      </c>
      <c r="G50" s="24">
        <f>IF(E50="","",IF(ABS(E50)&lt;=10,"✔ Accept","✘ Reject"))</f>
        <v/>
      </c>
      <c r="H50" s="15" t="inlineStr"/>
    </row>
    <row r="51" ht="16" customHeight="1">
      <c r="A51" s="16" t="inlineStr">
        <is>
          <t>Water Flow Rate (GPM)</t>
        </is>
      </c>
      <c r="B51" s="17" t="inlineStr"/>
      <c r="C51" s="28" t="inlineStr"/>
      <c r="D51" s="17" t="inlineStr">
        <is>
          <t>GPM</t>
        </is>
      </c>
      <c r="E51" s="17">
        <f>IF(AND(B51&lt;&gt;"",C51&lt;&gt;"",B51&lt;&gt;0),ROUND((C51-B51)/B51*100,1),"")</f>
        <v/>
      </c>
      <c r="F51" s="17" t="inlineStr">
        <is>
          <t>±10%</t>
        </is>
      </c>
      <c r="G51" s="23">
        <f>IF(E51="","",IF(ABS(E51)&lt;=10,"✔ Accept","✘ Reject"))</f>
        <v/>
      </c>
      <c r="H51" s="17" t="inlineStr"/>
    </row>
    <row r="52" ht="16" customHeight="1">
      <c r="A52" s="14" t="inlineStr">
        <is>
          <t>Coil Entering Static Pressure</t>
        </is>
      </c>
      <c r="B52" s="15" t="inlineStr"/>
      <c r="C52" s="28" t="inlineStr"/>
      <c r="D52" s="15" t="inlineStr">
        <is>
          <t>in. w.c.</t>
        </is>
      </c>
      <c r="E52" s="15">
        <f>IF(AND(B52&lt;&gt;"",C52&lt;&gt;"",B52&lt;&gt;0),ROUND((C52-B52)/B52*100,1),"")</f>
        <v/>
      </c>
      <c r="F52" s="15" t="inlineStr">
        <is>
          <t>Per design</t>
        </is>
      </c>
      <c r="G52" s="24">
        <f>IF(E52="","",IF(ABS(E52)&lt;=10,"✔ Accept","✘ Reject"))</f>
        <v/>
      </c>
      <c r="H52" s="15" t="inlineStr"/>
    </row>
    <row r="53" ht="16" customHeight="1">
      <c r="A53" s="16" t="inlineStr">
        <is>
          <t>Coil Leaving Static Pressure</t>
        </is>
      </c>
      <c r="B53" s="17" t="inlineStr"/>
      <c r="C53" s="28" t="inlineStr"/>
      <c r="D53" s="17" t="inlineStr">
        <is>
          <t>in. w.c.</t>
        </is>
      </c>
      <c r="E53" s="17">
        <f>IF(AND(B53&lt;&gt;"",C53&lt;&gt;"",B53&lt;&gt;0),ROUND((C53-B53)/B53*100,1),"")</f>
        <v/>
      </c>
      <c r="F53" s="17" t="inlineStr">
        <is>
          <t>Per design</t>
        </is>
      </c>
      <c r="G53" s="23">
        <f>IF(E53="","",IF(ABS(E53)&lt;=10,"✔ Accept","✘ Reject"))</f>
        <v/>
      </c>
      <c r="H53" s="17" t="inlineStr"/>
    </row>
    <row r="54" ht="16" customHeight="1">
      <c r="A54" s="14" t="inlineStr">
        <is>
          <t>Coil Air-Side ΔP</t>
        </is>
      </c>
      <c r="B54" s="15" t="inlineStr"/>
      <c r="C54" s="28" t="inlineStr"/>
      <c r="D54" s="15" t="inlineStr">
        <is>
          <t>in. w.c.</t>
        </is>
      </c>
      <c r="E54" s="15">
        <f>IF(AND(B54&lt;&gt;"",C54&lt;&gt;"",B54&lt;&gt;0),ROUND((C54-B54)/B54*100,1),"")</f>
        <v/>
      </c>
      <c r="F54" s="15" t="inlineStr">
        <is>
          <t>≤ design ΔP</t>
        </is>
      </c>
      <c r="G54" s="24">
        <f>IF(E54="","",IF(ABS(E54)&lt;=10,"✔ Accept","✘ Reject"))</f>
        <v/>
      </c>
      <c r="H54" s="15" t="inlineStr"/>
    </row>
    <row r="55" ht="16" customHeight="1">
      <c r="A55" s="16" t="inlineStr">
        <is>
          <t>Calculated Coil Capacity (tons)</t>
        </is>
      </c>
      <c r="B55" s="17" t="inlineStr"/>
      <c r="C55" s="28" t="inlineStr"/>
      <c r="D55" s="17" t="inlineStr">
        <is>
          <t>tons</t>
        </is>
      </c>
      <c r="E55" s="17">
        <f>IF(AND(B55&lt;&gt;"",C55&lt;&gt;"",B55&lt;&gt;0),ROUND((C55-B55)/B55*100,1),"")</f>
        <v/>
      </c>
      <c r="F55" s="17" t="inlineStr">
        <is>
          <t>Per design</t>
        </is>
      </c>
      <c r="G55" s="23">
        <f>IF(E55="","",IF(ABS(E55)&lt;=10,"✔ Accept","✘ Reject"))</f>
        <v/>
      </c>
      <c r="H55" s="17" t="inlineStr"/>
    </row>
    <row r="56" ht="6" customHeight="1"/>
    <row r="57" ht="22" customHeight="1">
      <c r="A57" s="7" t="inlineStr">
        <is>
          <t xml:space="preserve">  🔥  SECTION 10 — HEATING COIL PERFORMANCE DATA</t>
        </is>
      </c>
      <c r="B57" s="8" t="n"/>
      <c r="C57" s="8" t="n"/>
      <c r="D57" s="8" t="n"/>
      <c r="E57" s="8" t="n"/>
      <c r="F57" s="8" t="n"/>
      <c r="G57" s="8" t="n"/>
      <c r="H57" s="8" t="n"/>
    </row>
    <row r="58" ht="16" customHeight="1">
      <c r="A58" s="25" t="inlineStr">
        <is>
          <t xml:space="preserve">  AHU-1 Heating Coil (HW)</t>
        </is>
      </c>
      <c r="B58" s="26" t="n"/>
      <c r="C58" s="26" t="n"/>
      <c r="D58" s="26" t="n"/>
      <c r="E58" s="26" t="n"/>
      <c r="F58" s="26" t="n"/>
      <c r="G58" s="26" t="n"/>
      <c r="H58" s="26" t="n"/>
    </row>
    <row r="59" ht="14" customHeight="1">
      <c r="A59" s="27" t="inlineStr">
        <is>
          <t>Parameter</t>
        </is>
      </c>
      <c r="B59" s="27" t="inlineStr">
        <is>
          <t>Design Value</t>
        </is>
      </c>
      <c r="C59" s="27" t="inlineStr">
        <is>
          <t>Measured Value</t>
        </is>
      </c>
      <c r="D59" s="27" t="inlineStr">
        <is>
          <t>Unit</t>
        </is>
      </c>
      <c r="E59" s="27" t="inlineStr">
        <is>
          <t>% Dev.</t>
        </is>
      </c>
      <c r="F59" s="27" t="inlineStr">
        <is>
          <t>Spec / Tolerance</t>
        </is>
      </c>
      <c r="G59" s="27" t="inlineStr">
        <is>
          <t>Status</t>
        </is>
      </c>
      <c r="H59" s="27" t="inlineStr">
        <is>
          <t>Notes</t>
        </is>
      </c>
    </row>
    <row r="60" ht="16" customHeight="1">
      <c r="A60" s="14" t="inlineStr">
        <is>
          <t>Entering Air DB Temp</t>
        </is>
      </c>
      <c r="B60" s="15" t="inlineStr"/>
      <c r="C60" s="28" t="inlineStr"/>
      <c r="D60" s="15" t="inlineStr">
        <is>
          <t>°F</t>
        </is>
      </c>
      <c r="E60" s="15">
        <f>IF(AND(B60&lt;&gt;"",C60&lt;&gt;"",B60&lt;&gt;0),ROUND((C60-B60)/B60*100,1),"")</f>
        <v/>
      </c>
      <c r="F60" s="15" t="inlineStr">
        <is>
          <t>Per design</t>
        </is>
      </c>
      <c r="G60" s="24">
        <f>IF(E60="","",IF(ABS(E60)&lt;=10,"✔ Accept","✘ Reject"))</f>
        <v/>
      </c>
      <c r="H60" s="15" t="inlineStr"/>
    </row>
    <row r="61" ht="16" customHeight="1">
      <c r="A61" s="16" t="inlineStr">
        <is>
          <t>Leaving Air DB Temp</t>
        </is>
      </c>
      <c r="B61" s="17" t="inlineStr"/>
      <c r="C61" s="28" t="inlineStr"/>
      <c r="D61" s="17" t="inlineStr">
        <is>
          <t>°F</t>
        </is>
      </c>
      <c r="E61" s="17">
        <f>IF(AND(B61&lt;&gt;"",C61&lt;&gt;"",B61&lt;&gt;0),ROUND((C61-B61)/B61*100,1),"")</f>
        <v/>
      </c>
      <c r="F61" s="17" t="inlineStr">
        <is>
          <t>Per design</t>
        </is>
      </c>
      <c r="G61" s="23">
        <f>IF(E61="","",IF(ABS(E61)&lt;=10,"✔ Accept","✘ Reject"))</f>
        <v/>
      </c>
      <c r="H61" s="17" t="inlineStr"/>
    </row>
    <row r="62" ht="16" customHeight="1">
      <c r="A62" s="14" t="inlineStr">
        <is>
          <t>Air-Side ΔT</t>
        </is>
      </c>
      <c r="B62" s="15" t="inlineStr"/>
      <c r="C62" s="28" t="inlineStr"/>
      <c r="D62" s="15" t="inlineStr">
        <is>
          <t>°F</t>
        </is>
      </c>
      <c r="E62" s="15">
        <f>IF(AND(B62&lt;&gt;"",C62&lt;&gt;"",B62&lt;&gt;0),ROUND((C62-B62)/B62*100,1),"")</f>
        <v/>
      </c>
      <c r="F62" s="15" t="inlineStr">
        <is>
          <t>Per design</t>
        </is>
      </c>
      <c r="G62" s="24">
        <f>IF(E62="","",IF(ABS(E62)&lt;=10,"✔ Accept","✘ Reject"))</f>
        <v/>
      </c>
      <c r="H62" s="15" t="inlineStr"/>
    </row>
    <row r="63" ht="16" customHeight="1">
      <c r="A63" s="16" t="inlineStr">
        <is>
          <t>Airflow (CFM)</t>
        </is>
      </c>
      <c r="B63" s="17" t="inlineStr"/>
      <c r="C63" s="28" t="inlineStr"/>
      <c r="D63" s="17" t="inlineStr">
        <is>
          <t>CFM</t>
        </is>
      </c>
      <c r="E63" s="17">
        <f>IF(AND(B63&lt;&gt;"",C63&lt;&gt;"",B63&lt;&gt;0),ROUND((C63-B63)/B63*100,1),"")</f>
        <v/>
      </c>
      <c r="F63" s="17" t="inlineStr">
        <is>
          <t>±10%</t>
        </is>
      </c>
      <c r="G63" s="23">
        <f>IF(E63="","",IF(ABS(E63)&lt;=10,"✔ Accept","✘ Reject"))</f>
        <v/>
      </c>
      <c r="H63" s="17" t="inlineStr"/>
    </row>
    <row r="64" ht="16" customHeight="1">
      <c r="A64" s="14" t="inlineStr">
        <is>
          <t>Entering Water Temp (HW)</t>
        </is>
      </c>
      <c r="B64" s="15" t="inlineStr"/>
      <c r="C64" s="28" t="inlineStr"/>
      <c r="D64" s="15" t="inlineStr">
        <is>
          <t>°F</t>
        </is>
      </c>
      <c r="E64" s="15">
        <f>IF(AND(B64&lt;&gt;"",C64&lt;&gt;"",B64&lt;&gt;0),ROUND((C64-B64)/B64*100,1),"")</f>
        <v/>
      </c>
      <c r="F64" s="15" t="inlineStr">
        <is>
          <t>Per design</t>
        </is>
      </c>
      <c r="G64" s="24">
        <f>IF(E64="","",IF(ABS(E64)&lt;=10,"✔ Accept","✘ Reject"))</f>
        <v/>
      </c>
      <c r="H64" s="15" t="inlineStr"/>
    </row>
    <row r="65" ht="16" customHeight="1">
      <c r="A65" s="16" t="inlineStr">
        <is>
          <t>Leaving Water Temp (HW)</t>
        </is>
      </c>
      <c r="B65" s="17" t="inlineStr"/>
      <c r="C65" s="28" t="inlineStr"/>
      <c r="D65" s="17" t="inlineStr">
        <is>
          <t>°F</t>
        </is>
      </c>
      <c r="E65" s="17">
        <f>IF(AND(B65&lt;&gt;"",C65&lt;&gt;"",B65&lt;&gt;0),ROUND((C65-B65)/B65*100,1),"")</f>
        <v/>
      </c>
      <c r="F65" s="17" t="inlineStr">
        <is>
          <t>Per design</t>
        </is>
      </c>
      <c r="G65" s="23">
        <f>IF(E65="","",IF(ABS(E65)&lt;=10,"✔ Accept","✘ Reject"))</f>
        <v/>
      </c>
      <c r="H65" s="17" t="inlineStr"/>
    </row>
    <row r="66" ht="16" customHeight="1">
      <c r="A66" s="14" t="inlineStr">
        <is>
          <t>Water-Side ΔT</t>
        </is>
      </c>
      <c r="B66" s="15" t="inlineStr"/>
      <c r="C66" s="28" t="inlineStr"/>
      <c r="D66" s="15" t="inlineStr">
        <is>
          <t>°F</t>
        </is>
      </c>
      <c r="E66" s="15">
        <f>IF(AND(B66&lt;&gt;"",C66&lt;&gt;"",B66&lt;&gt;0),ROUND((C66-B66)/B66*100,1),"")</f>
        <v/>
      </c>
      <c r="F66" s="15" t="inlineStr">
        <is>
          <t>Per design</t>
        </is>
      </c>
      <c r="G66" s="24">
        <f>IF(E66="","",IF(ABS(E66)&lt;=10,"✔ Accept","✘ Reject"))</f>
        <v/>
      </c>
      <c r="H66" s="15" t="inlineStr"/>
    </row>
    <row r="67" ht="16" customHeight="1">
      <c r="A67" s="16" t="inlineStr">
        <is>
          <t>Water Flow Rate (GPM)</t>
        </is>
      </c>
      <c r="B67" s="17" t="inlineStr"/>
      <c r="C67" s="28" t="inlineStr"/>
      <c r="D67" s="17" t="inlineStr">
        <is>
          <t>GPM</t>
        </is>
      </c>
      <c r="E67" s="17">
        <f>IF(AND(B67&lt;&gt;"",C67&lt;&gt;"",B67&lt;&gt;0),ROUND((C67-B67)/B67*100,1),"")</f>
        <v/>
      </c>
      <c r="F67" s="17" t="inlineStr">
        <is>
          <t>±10%</t>
        </is>
      </c>
      <c r="G67" s="23">
        <f>IF(E67="","",IF(ABS(E67)&lt;=10,"✔ Accept","✘ Reject"))</f>
        <v/>
      </c>
      <c r="H67" s="17" t="inlineStr"/>
    </row>
    <row r="68" ht="16" customHeight="1">
      <c r="A68" s="14" t="inlineStr">
        <is>
          <t>Coil Air-Side ΔP</t>
        </is>
      </c>
      <c r="B68" s="15" t="inlineStr"/>
      <c r="C68" s="28" t="inlineStr"/>
      <c r="D68" s="15" t="inlineStr">
        <is>
          <t>in. w.c.</t>
        </is>
      </c>
      <c r="E68" s="15">
        <f>IF(AND(B68&lt;&gt;"",C68&lt;&gt;"",B68&lt;&gt;0),ROUND((C68-B68)/B68*100,1),"")</f>
        <v/>
      </c>
      <c r="F68" s="15" t="inlineStr">
        <is>
          <t>≤ design ΔP</t>
        </is>
      </c>
      <c r="G68" s="24">
        <f>IF(E68="","",IF(ABS(E68)&lt;=10,"✔ Accept","✘ Reject"))</f>
        <v/>
      </c>
      <c r="H68" s="15" t="inlineStr"/>
    </row>
    <row r="69" ht="16" customHeight="1">
      <c r="A69" s="16" t="inlineStr">
        <is>
          <t>Calculated Heating Capacity (MBH)</t>
        </is>
      </c>
      <c r="B69" s="17" t="inlineStr"/>
      <c r="C69" s="28" t="inlineStr"/>
      <c r="D69" s="17" t="inlineStr">
        <is>
          <t>MBH</t>
        </is>
      </c>
      <c r="E69" s="17">
        <f>IF(AND(B69&lt;&gt;"",C69&lt;&gt;"",B69&lt;&gt;0),ROUND((C69-B69)/B69*100,1),"")</f>
        <v/>
      </c>
      <c r="F69" s="17" t="inlineStr">
        <is>
          <t>Per design</t>
        </is>
      </c>
      <c r="G69" s="23">
        <f>IF(E69="","",IF(ABS(E69)&lt;=10,"✔ Accept","✘ Reject"))</f>
        <v/>
      </c>
      <c r="H69" s="17" t="inlineStr"/>
    </row>
    <row r="70" ht="16" customHeight="1">
      <c r="A70" s="14" t="inlineStr">
        <is>
          <t>Heating Element KW (electric)</t>
        </is>
      </c>
      <c r="B70" s="15" t="inlineStr"/>
      <c r="C70" s="28" t="inlineStr"/>
      <c r="D70" s="15" t="inlineStr">
        <is>
          <t>kW</t>
        </is>
      </c>
      <c r="E70" s="15">
        <f>IF(AND(B70&lt;&gt;"",C70&lt;&gt;"",B70&lt;&gt;0),ROUND((C70-B70)/B70*100,1),"")</f>
        <v/>
      </c>
      <c r="F70" s="15" t="inlineStr">
        <is>
          <t>Per nameplate</t>
        </is>
      </c>
      <c r="G70" s="24">
        <f>IF(E70="","",IF(ABS(E70)&lt;=10,"✔ Accept","✘ Reject"))</f>
        <v/>
      </c>
      <c r="H70" s="15" t="inlineStr"/>
    </row>
    <row r="71" ht="16" customHeight="1">
      <c r="A71" s="16" t="inlineStr">
        <is>
          <t>Electric Heat Amps (measured)</t>
        </is>
      </c>
      <c r="B71" s="17" t="inlineStr"/>
      <c r="C71" s="28" t="inlineStr"/>
      <c r="D71" s="17" t="inlineStr">
        <is>
          <t>Amps</t>
        </is>
      </c>
      <c r="E71" s="17">
        <f>IF(AND(B71&lt;&gt;"",C71&lt;&gt;"",B71&lt;&gt;0),ROUND((C71-B71)/B71*100,1),"")</f>
        <v/>
      </c>
      <c r="F71" s="17" t="inlineStr">
        <is>
          <t>≤ nameplate</t>
        </is>
      </c>
      <c r="G71" s="23">
        <f>IF(E71="","",IF(ABS(E71)&lt;=10,"✔ Accept","✘ Reject"))</f>
        <v/>
      </c>
      <c r="H71" s="17" t="inlineStr"/>
    </row>
    <row r="72" ht="6" customHeight="1"/>
    <row r="73" ht="16" customHeight="1">
      <c r="A73" s="25" t="inlineStr">
        <is>
          <t xml:space="preserve">  AHU-2 Electric Preheat Coil</t>
        </is>
      </c>
      <c r="B73" s="26" t="n"/>
      <c r="C73" s="26" t="n"/>
      <c r="D73" s="26" t="n"/>
      <c r="E73" s="26" t="n"/>
      <c r="F73" s="26" t="n"/>
      <c r="G73" s="26" t="n"/>
      <c r="H73" s="26" t="n"/>
    </row>
    <row r="74" ht="14" customHeight="1">
      <c r="A74" s="27" t="inlineStr">
        <is>
          <t>Parameter</t>
        </is>
      </c>
      <c r="B74" s="27" t="inlineStr">
        <is>
          <t>Design Value</t>
        </is>
      </c>
      <c r="C74" s="27" t="inlineStr">
        <is>
          <t>Measured Value</t>
        </is>
      </c>
      <c r="D74" s="27" t="inlineStr">
        <is>
          <t>Unit</t>
        </is>
      </c>
      <c r="E74" s="27" t="inlineStr">
        <is>
          <t>% Dev.</t>
        </is>
      </c>
      <c r="F74" s="27" t="inlineStr">
        <is>
          <t>Spec / Tolerance</t>
        </is>
      </c>
      <c r="G74" s="27" t="inlineStr">
        <is>
          <t>Status</t>
        </is>
      </c>
      <c r="H74" s="27" t="inlineStr">
        <is>
          <t>Notes</t>
        </is>
      </c>
    </row>
    <row r="75" ht="16" customHeight="1">
      <c r="A75" s="14" t="inlineStr">
        <is>
          <t>Entering Air DB Temp</t>
        </is>
      </c>
      <c r="B75" s="15" t="inlineStr"/>
      <c r="C75" s="28" t="inlineStr"/>
      <c r="D75" s="15" t="inlineStr">
        <is>
          <t>°F</t>
        </is>
      </c>
      <c r="E75" s="15">
        <f>IF(AND(B75&lt;&gt;"",C75&lt;&gt;"",B75&lt;&gt;0),ROUND((C75-B75)/B75*100,1),"")</f>
        <v/>
      </c>
      <c r="F75" s="15" t="inlineStr">
        <is>
          <t>Per design</t>
        </is>
      </c>
      <c r="G75" s="24">
        <f>IF(E75="","",IF(ABS(E75)&lt;=10,"✔ Accept","✘ Reject"))</f>
        <v/>
      </c>
      <c r="H75" s="15" t="inlineStr"/>
    </row>
    <row r="76" ht="16" customHeight="1">
      <c r="A76" s="16" t="inlineStr">
        <is>
          <t>Leaving Air DB Temp</t>
        </is>
      </c>
      <c r="B76" s="17" t="inlineStr"/>
      <c r="C76" s="28" t="inlineStr"/>
      <c r="D76" s="17" t="inlineStr">
        <is>
          <t>°F</t>
        </is>
      </c>
      <c r="E76" s="17">
        <f>IF(AND(B76&lt;&gt;"",C76&lt;&gt;"",B76&lt;&gt;0),ROUND((C76-B76)/B76*100,1),"")</f>
        <v/>
      </c>
      <c r="F76" s="17" t="inlineStr">
        <is>
          <t>Per design</t>
        </is>
      </c>
      <c r="G76" s="23">
        <f>IF(E76="","",IF(ABS(E76)&lt;=10,"✔ Accept","✘ Reject"))</f>
        <v/>
      </c>
      <c r="H76" s="17" t="inlineStr"/>
    </row>
    <row r="77" ht="16" customHeight="1">
      <c r="A77" s="14" t="inlineStr">
        <is>
          <t>Air-Side ΔT</t>
        </is>
      </c>
      <c r="B77" s="15" t="inlineStr"/>
      <c r="C77" s="28" t="inlineStr"/>
      <c r="D77" s="15" t="inlineStr">
        <is>
          <t>°F</t>
        </is>
      </c>
      <c r="E77" s="15">
        <f>IF(AND(B77&lt;&gt;"",C77&lt;&gt;"",B77&lt;&gt;0),ROUND((C77-B77)/B77*100,1),"")</f>
        <v/>
      </c>
      <c r="F77" s="15" t="inlineStr">
        <is>
          <t>Per design</t>
        </is>
      </c>
      <c r="G77" s="24">
        <f>IF(E77="","",IF(ABS(E77)&lt;=10,"✔ Accept","✘ Reject"))</f>
        <v/>
      </c>
      <c r="H77" s="15" t="inlineStr"/>
    </row>
    <row r="78" ht="16" customHeight="1">
      <c r="A78" s="16" t="inlineStr">
        <is>
          <t>Airflow (CFM)</t>
        </is>
      </c>
      <c r="B78" s="17" t="inlineStr"/>
      <c r="C78" s="28" t="inlineStr"/>
      <c r="D78" s="17" t="inlineStr">
        <is>
          <t>CFM</t>
        </is>
      </c>
      <c r="E78" s="17">
        <f>IF(AND(B78&lt;&gt;"",C78&lt;&gt;"",B78&lt;&gt;0),ROUND((C78-B78)/B78*100,1),"")</f>
        <v/>
      </c>
      <c r="F78" s="17" t="inlineStr">
        <is>
          <t>±10%</t>
        </is>
      </c>
      <c r="G78" s="23">
        <f>IF(E78="","",IF(ABS(E78)&lt;=10,"✔ Accept","✘ Reject"))</f>
        <v/>
      </c>
      <c r="H78" s="17" t="inlineStr"/>
    </row>
    <row r="79" ht="16" customHeight="1">
      <c r="A79" s="14" t="inlineStr">
        <is>
          <t>Entering Water Temp (HW)</t>
        </is>
      </c>
      <c r="B79" s="15" t="inlineStr"/>
      <c r="C79" s="28" t="inlineStr"/>
      <c r="D79" s="15" t="inlineStr">
        <is>
          <t>°F</t>
        </is>
      </c>
      <c r="E79" s="15">
        <f>IF(AND(B79&lt;&gt;"",C79&lt;&gt;"",B79&lt;&gt;0),ROUND((C79-B79)/B79*100,1),"")</f>
        <v/>
      </c>
      <c r="F79" s="15" t="inlineStr">
        <is>
          <t>Per design</t>
        </is>
      </c>
      <c r="G79" s="24">
        <f>IF(E79="","",IF(ABS(E79)&lt;=10,"✔ Accept","✘ Reject"))</f>
        <v/>
      </c>
      <c r="H79" s="15" t="inlineStr"/>
    </row>
    <row r="80" ht="16" customHeight="1">
      <c r="A80" s="16" t="inlineStr">
        <is>
          <t>Leaving Water Temp (HW)</t>
        </is>
      </c>
      <c r="B80" s="17" t="inlineStr"/>
      <c r="C80" s="28" t="inlineStr"/>
      <c r="D80" s="17" t="inlineStr">
        <is>
          <t>°F</t>
        </is>
      </c>
      <c r="E80" s="17">
        <f>IF(AND(B80&lt;&gt;"",C80&lt;&gt;"",B80&lt;&gt;0),ROUND((C80-B80)/B80*100,1),"")</f>
        <v/>
      </c>
      <c r="F80" s="17" t="inlineStr">
        <is>
          <t>Per design</t>
        </is>
      </c>
      <c r="G80" s="23">
        <f>IF(E80="","",IF(ABS(E80)&lt;=10,"✔ Accept","✘ Reject"))</f>
        <v/>
      </c>
      <c r="H80" s="17" t="inlineStr"/>
    </row>
    <row r="81" ht="16" customHeight="1">
      <c r="A81" s="14" t="inlineStr">
        <is>
          <t>Water-Side ΔT</t>
        </is>
      </c>
      <c r="B81" s="15" t="inlineStr"/>
      <c r="C81" s="28" t="inlineStr"/>
      <c r="D81" s="15" t="inlineStr">
        <is>
          <t>°F</t>
        </is>
      </c>
      <c r="E81" s="15">
        <f>IF(AND(B81&lt;&gt;"",C81&lt;&gt;"",B81&lt;&gt;0),ROUND((C81-B81)/B81*100,1),"")</f>
        <v/>
      </c>
      <c r="F81" s="15" t="inlineStr">
        <is>
          <t>Per design</t>
        </is>
      </c>
      <c r="G81" s="24">
        <f>IF(E81="","",IF(ABS(E81)&lt;=10,"✔ Accept","✘ Reject"))</f>
        <v/>
      </c>
      <c r="H81" s="15" t="inlineStr"/>
    </row>
    <row r="82" ht="16" customHeight="1">
      <c r="A82" s="16" t="inlineStr">
        <is>
          <t>Water Flow Rate (GPM)</t>
        </is>
      </c>
      <c r="B82" s="17" t="inlineStr"/>
      <c r="C82" s="28" t="inlineStr"/>
      <c r="D82" s="17" t="inlineStr">
        <is>
          <t>GPM</t>
        </is>
      </c>
      <c r="E82" s="17">
        <f>IF(AND(B82&lt;&gt;"",C82&lt;&gt;"",B82&lt;&gt;0),ROUND((C82-B82)/B82*100,1),"")</f>
        <v/>
      </c>
      <c r="F82" s="17" t="inlineStr">
        <is>
          <t>±10%</t>
        </is>
      </c>
      <c r="G82" s="23">
        <f>IF(E82="","",IF(ABS(E82)&lt;=10,"✔ Accept","✘ Reject"))</f>
        <v/>
      </c>
      <c r="H82" s="17" t="inlineStr"/>
    </row>
    <row r="83" ht="16" customHeight="1">
      <c r="A83" s="14" t="inlineStr">
        <is>
          <t>Coil Air-Side ΔP</t>
        </is>
      </c>
      <c r="B83" s="15" t="inlineStr"/>
      <c r="C83" s="28" t="inlineStr"/>
      <c r="D83" s="15" t="inlineStr">
        <is>
          <t>in. w.c.</t>
        </is>
      </c>
      <c r="E83" s="15">
        <f>IF(AND(B83&lt;&gt;"",C83&lt;&gt;"",B83&lt;&gt;0),ROUND((C83-B83)/B83*100,1),"")</f>
        <v/>
      </c>
      <c r="F83" s="15" t="inlineStr">
        <is>
          <t>≤ design ΔP</t>
        </is>
      </c>
      <c r="G83" s="24">
        <f>IF(E83="","",IF(ABS(E83)&lt;=10,"✔ Accept","✘ Reject"))</f>
        <v/>
      </c>
      <c r="H83" s="15" t="inlineStr"/>
    </row>
    <row r="84" ht="16" customHeight="1">
      <c r="A84" s="16" t="inlineStr">
        <is>
          <t>Calculated Heating Capacity (MBH)</t>
        </is>
      </c>
      <c r="B84" s="17" t="inlineStr"/>
      <c r="C84" s="28" t="inlineStr"/>
      <c r="D84" s="17" t="inlineStr">
        <is>
          <t>MBH</t>
        </is>
      </c>
      <c r="E84" s="17">
        <f>IF(AND(B84&lt;&gt;"",C84&lt;&gt;"",B84&lt;&gt;0),ROUND((C84-B84)/B84*100,1),"")</f>
        <v/>
      </c>
      <c r="F84" s="17" t="inlineStr">
        <is>
          <t>Per design</t>
        </is>
      </c>
      <c r="G84" s="23">
        <f>IF(E84="","",IF(ABS(E84)&lt;=10,"✔ Accept","✘ Reject"))</f>
        <v/>
      </c>
      <c r="H84" s="17" t="inlineStr"/>
    </row>
    <row r="85" ht="16" customHeight="1">
      <c r="A85" s="14" t="inlineStr">
        <is>
          <t>Heating Element KW (electric)</t>
        </is>
      </c>
      <c r="B85" s="15" t="inlineStr"/>
      <c r="C85" s="28" t="inlineStr"/>
      <c r="D85" s="15" t="inlineStr">
        <is>
          <t>kW</t>
        </is>
      </c>
      <c r="E85" s="15">
        <f>IF(AND(B85&lt;&gt;"",C85&lt;&gt;"",B85&lt;&gt;0),ROUND((C85-B85)/B85*100,1),"")</f>
        <v/>
      </c>
      <c r="F85" s="15" t="inlineStr">
        <is>
          <t>Per nameplate</t>
        </is>
      </c>
      <c r="G85" s="24">
        <f>IF(E85="","",IF(ABS(E85)&lt;=10,"✔ Accept","✘ Reject"))</f>
        <v/>
      </c>
      <c r="H85" s="15" t="inlineStr"/>
    </row>
    <row r="86" ht="16" customHeight="1">
      <c r="A86" s="16" t="inlineStr">
        <is>
          <t>Electric Heat Amps (measured)</t>
        </is>
      </c>
      <c r="B86" s="17" t="inlineStr"/>
      <c r="C86" s="28" t="inlineStr"/>
      <c r="D86" s="17" t="inlineStr">
        <is>
          <t>Amps</t>
        </is>
      </c>
      <c r="E86" s="17">
        <f>IF(AND(B86&lt;&gt;"",C86&lt;&gt;"",B86&lt;&gt;0),ROUND((C86-B86)/B86*100,1),"")</f>
        <v/>
      </c>
      <c r="F86" s="17" t="inlineStr">
        <is>
          <t>≤ nameplate</t>
        </is>
      </c>
      <c r="G86" s="23">
        <f>IF(E86="","",IF(ABS(E86)&lt;=10,"✔ Accept","✘ Reject"))</f>
        <v/>
      </c>
      <c r="H86" s="17" t="inlineStr"/>
    </row>
    <row r="87" ht="6" customHeight="1"/>
    <row r="88" ht="22" customHeight="1">
      <c r="A88" s="7" t="inlineStr">
        <is>
          <t xml:space="preserve">  🏭  SECTION 11 — CHILLER &amp; CONDENSER PERFORMANCE (if applicable)</t>
        </is>
      </c>
      <c r="B88" s="8" t="n"/>
      <c r="C88" s="8" t="n"/>
      <c r="D88" s="8" t="n"/>
      <c r="E88" s="8" t="n"/>
      <c r="F88" s="8" t="n"/>
      <c r="G88" s="8" t="n"/>
      <c r="H88" s="8" t="n"/>
    </row>
    <row r="89" ht="16" customHeight="1">
      <c r="A89" s="25" t="inlineStr">
        <is>
          <t xml:space="preserve">  Chiller — CHILLER-1</t>
        </is>
      </c>
      <c r="B89" s="26" t="n"/>
      <c r="C89" s="26" t="n"/>
      <c r="D89" s="26" t="n"/>
      <c r="E89" s="26" t="n"/>
      <c r="F89" s="26" t="n"/>
      <c r="G89" s="26" t="n"/>
      <c r="H89" s="26" t="n"/>
    </row>
    <row r="90" ht="14" customHeight="1">
      <c r="A90" s="27" t="inlineStr">
        <is>
          <t>Parameter</t>
        </is>
      </c>
      <c r="B90" s="27" t="inlineStr">
        <is>
          <t>Design Value</t>
        </is>
      </c>
      <c r="C90" s="27" t="inlineStr">
        <is>
          <t>Measured Value</t>
        </is>
      </c>
      <c r="D90" s="27" t="inlineStr">
        <is>
          <t>Unit</t>
        </is>
      </c>
      <c r="E90" s="27" t="inlineStr">
        <is>
          <t>% Dev.</t>
        </is>
      </c>
      <c r="F90" s="27" t="inlineStr">
        <is>
          <t>Spec / Tolerance</t>
        </is>
      </c>
      <c r="G90" s="27" t="inlineStr">
        <is>
          <t>Status</t>
        </is>
      </c>
      <c r="H90" s="27" t="inlineStr">
        <is>
          <t>Notes</t>
        </is>
      </c>
    </row>
    <row r="91" ht="16" customHeight="1">
      <c r="A91" s="14" t="inlineStr">
        <is>
          <t>Chilled Water Supply Temp</t>
        </is>
      </c>
      <c r="B91" s="15" t="inlineStr"/>
      <c r="C91" s="28" t="inlineStr"/>
      <c r="D91" s="15" t="inlineStr">
        <is>
          <t>°F</t>
        </is>
      </c>
      <c r="E91" s="15">
        <f>IF(AND(B91&lt;&gt;"",C91&lt;&gt;"",B91&lt;&gt;0),ROUND((C91-B91)/B91*100,1),"")</f>
        <v/>
      </c>
      <c r="F91" s="15" t="inlineStr">
        <is>
          <t>44–46°F design</t>
        </is>
      </c>
      <c r="G91" s="24">
        <f>IF(E91="","",IF(ABS(E91)&lt;=10,"✔ Accept","✘ Reject"))</f>
        <v/>
      </c>
      <c r="H91" s="15" t="inlineStr"/>
    </row>
    <row r="92" ht="16" customHeight="1">
      <c r="A92" s="16" t="inlineStr">
        <is>
          <t>Chilled Water Return Temp</t>
        </is>
      </c>
      <c r="B92" s="17" t="inlineStr"/>
      <c r="C92" s="28" t="inlineStr"/>
      <c r="D92" s="17" t="inlineStr">
        <is>
          <t>°F</t>
        </is>
      </c>
      <c r="E92" s="17">
        <f>IF(AND(B92&lt;&gt;"",C92&lt;&gt;"",B92&lt;&gt;0),ROUND((C92-B92)/B92*100,1),"")</f>
        <v/>
      </c>
      <c r="F92" s="17" t="inlineStr">
        <is>
          <t>54–56°F design</t>
        </is>
      </c>
      <c r="G92" s="23">
        <f>IF(E92="","",IF(ABS(E92)&lt;=10,"✔ Accept","✘ Reject"))</f>
        <v/>
      </c>
      <c r="H92" s="17" t="inlineStr"/>
    </row>
    <row r="93" ht="16" customHeight="1">
      <c r="A93" s="14" t="inlineStr">
        <is>
          <t>Chilled Water ΔT</t>
        </is>
      </c>
      <c r="B93" s="15" t="inlineStr"/>
      <c r="C93" s="28" t="inlineStr"/>
      <c r="D93" s="15" t="inlineStr">
        <is>
          <t>°F</t>
        </is>
      </c>
      <c r="E93" s="15">
        <f>IF(AND(B93&lt;&gt;"",C93&lt;&gt;"",B93&lt;&gt;0),ROUND((C93-B93)/B93*100,1),"")</f>
        <v/>
      </c>
      <c r="F93" s="15" t="inlineStr">
        <is>
          <t>Per design</t>
        </is>
      </c>
      <c r="G93" s="24">
        <f>IF(E93="","",IF(ABS(E93)&lt;=10,"✔ Accept","✘ Reject"))</f>
        <v/>
      </c>
      <c r="H93" s="15" t="inlineStr"/>
    </row>
    <row r="94" ht="16" customHeight="1">
      <c r="A94" s="16" t="inlineStr">
        <is>
          <t>Chilled Water Flow (GPM)</t>
        </is>
      </c>
      <c r="B94" s="17" t="inlineStr"/>
      <c r="C94" s="28" t="inlineStr"/>
      <c r="D94" s="17" t="inlineStr">
        <is>
          <t>GPM</t>
        </is>
      </c>
      <c r="E94" s="17">
        <f>IF(AND(B94&lt;&gt;"",C94&lt;&gt;"",B94&lt;&gt;0),ROUND((C94-B94)/B94*100,1),"")</f>
        <v/>
      </c>
      <c r="F94" s="17" t="inlineStr">
        <is>
          <t>±10%</t>
        </is>
      </c>
      <c r="G94" s="23">
        <f>IF(E94="","",IF(ABS(E94)&lt;=10,"✔ Accept","✘ Reject"))</f>
        <v/>
      </c>
      <c r="H94" s="17" t="inlineStr"/>
    </row>
    <row r="95" ht="16" customHeight="1">
      <c r="A95" s="14" t="inlineStr">
        <is>
          <t>Condenser Water Supply Temp</t>
        </is>
      </c>
      <c r="B95" s="15" t="inlineStr"/>
      <c r="C95" s="28" t="inlineStr"/>
      <c r="D95" s="15" t="inlineStr">
        <is>
          <t>°F</t>
        </is>
      </c>
      <c r="E95" s="15">
        <f>IF(AND(B95&lt;&gt;"",C95&lt;&gt;"",B95&lt;&gt;0),ROUND((C95-B95)/B95*100,1),"")</f>
        <v/>
      </c>
      <c r="F95" s="15" t="inlineStr">
        <is>
          <t>85°F design</t>
        </is>
      </c>
      <c r="G95" s="24">
        <f>IF(E95="","",IF(ABS(E95)&lt;=10,"✔ Accept","✘ Reject"))</f>
        <v/>
      </c>
      <c r="H95" s="15" t="inlineStr"/>
    </row>
    <row r="96" ht="16" customHeight="1">
      <c r="A96" s="16" t="inlineStr">
        <is>
          <t>Condenser Water Return Temp</t>
        </is>
      </c>
      <c r="B96" s="17" t="inlineStr"/>
      <c r="C96" s="28" t="inlineStr"/>
      <c r="D96" s="17" t="inlineStr">
        <is>
          <t>°F</t>
        </is>
      </c>
      <c r="E96" s="17">
        <f>IF(AND(B96&lt;&gt;"",C96&lt;&gt;"",B96&lt;&gt;0),ROUND((C96-B96)/B96*100,1),"")</f>
        <v/>
      </c>
      <c r="F96" s="17" t="inlineStr">
        <is>
          <t>95°F design</t>
        </is>
      </c>
      <c r="G96" s="23">
        <f>IF(E96="","",IF(ABS(E96)&lt;=10,"✔ Accept","✘ Reject"))</f>
        <v/>
      </c>
      <c r="H96" s="17" t="inlineStr"/>
    </row>
    <row r="97" ht="16" customHeight="1">
      <c r="A97" s="14" t="inlineStr">
        <is>
          <t>Condenser Water Flow (GPM)</t>
        </is>
      </c>
      <c r="B97" s="15" t="inlineStr"/>
      <c r="C97" s="28" t="inlineStr"/>
      <c r="D97" s="15" t="inlineStr">
        <is>
          <t>GPM</t>
        </is>
      </c>
      <c r="E97" s="15">
        <f>IF(AND(B97&lt;&gt;"",C97&lt;&gt;"",B97&lt;&gt;0),ROUND((C97-B97)/B97*100,1),"")</f>
        <v/>
      </c>
      <c r="F97" s="15" t="inlineStr">
        <is>
          <t>±10%</t>
        </is>
      </c>
      <c r="G97" s="24">
        <f>IF(E97="","",IF(ABS(E97)&lt;=10,"✔ Accept","✘ Reject"))</f>
        <v/>
      </c>
      <c r="H97" s="15" t="inlineStr"/>
    </row>
    <row r="98" ht="16" customHeight="1">
      <c r="A98" s="16" t="inlineStr">
        <is>
          <t>Refrigerant Suction Pressure</t>
        </is>
      </c>
      <c r="B98" s="17" t="inlineStr"/>
      <c r="C98" s="28" t="inlineStr"/>
      <c r="D98" s="17" t="inlineStr">
        <is>
          <t>psig</t>
        </is>
      </c>
      <c r="E98" s="17">
        <f>IF(AND(B98&lt;&gt;"",C98&lt;&gt;"",B98&lt;&gt;0),ROUND((C98-B98)/B98*100,1),"")</f>
        <v/>
      </c>
      <c r="F98" s="17" t="inlineStr">
        <is>
          <t>Per design</t>
        </is>
      </c>
      <c r="G98" s="23">
        <f>IF(E98="","",IF(ABS(E98)&lt;=10,"✔ Accept","✘ Reject"))</f>
        <v/>
      </c>
      <c r="H98" s="17" t="inlineStr"/>
    </row>
    <row r="99" ht="16" customHeight="1">
      <c r="A99" s="14" t="inlineStr">
        <is>
          <t>Refrigerant Discharge Pressure</t>
        </is>
      </c>
      <c r="B99" s="15" t="inlineStr"/>
      <c r="C99" s="28" t="inlineStr"/>
      <c r="D99" s="15" t="inlineStr">
        <is>
          <t>psig</t>
        </is>
      </c>
      <c r="E99" s="15">
        <f>IF(AND(B99&lt;&gt;"",C99&lt;&gt;"",B99&lt;&gt;0),ROUND((C99-B99)/B99*100,1),"")</f>
        <v/>
      </c>
      <c r="F99" s="15" t="inlineStr">
        <is>
          <t>Per design</t>
        </is>
      </c>
      <c r="G99" s="24">
        <f>IF(E99="","",IF(ABS(E99)&lt;=10,"✔ Accept","✘ Reject"))</f>
        <v/>
      </c>
      <c r="H99" s="15" t="inlineStr"/>
    </row>
    <row r="100" ht="16" customHeight="1">
      <c r="A100" s="16" t="inlineStr">
        <is>
          <t>Compressor Amps (actual)</t>
        </is>
      </c>
      <c r="B100" s="17" t="inlineStr"/>
      <c r="C100" s="28" t="inlineStr"/>
      <c r="D100" s="17" t="inlineStr">
        <is>
          <t>Amps</t>
        </is>
      </c>
      <c r="E100" s="17">
        <f>IF(AND(B100&lt;&gt;"",C100&lt;&gt;"",B100&lt;&gt;0),ROUND((C100-B100)/B100*100,1),"")</f>
        <v/>
      </c>
      <c r="F100" s="17" t="inlineStr">
        <is>
          <t>≤ nameplate</t>
        </is>
      </c>
      <c r="G100" s="23">
        <f>IF(E100="","",IF(ABS(E100)&lt;=10,"✔ Accept","✘ Reject"))</f>
        <v/>
      </c>
      <c r="H100" s="17" t="inlineStr"/>
    </row>
    <row r="101" ht="16" customHeight="1">
      <c r="A101" s="14" t="inlineStr">
        <is>
          <t>Measured Capacity (tons)</t>
        </is>
      </c>
      <c r="B101" s="15" t="inlineStr"/>
      <c r="C101" s="28" t="inlineStr"/>
      <c r="D101" s="15" t="inlineStr">
        <is>
          <t>tons</t>
        </is>
      </c>
      <c r="E101" s="15">
        <f>IF(AND(B101&lt;&gt;"",C101&lt;&gt;"",B101&lt;&gt;0),ROUND((C101-B101)/B101*100,1),"")</f>
        <v/>
      </c>
      <c r="F101" s="15" t="inlineStr">
        <is>
          <t>Per design ±5%</t>
        </is>
      </c>
      <c r="G101" s="24">
        <f>IF(E101="","",IF(ABS(E101)&lt;=10,"✔ Accept","✘ Reject"))</f>
        <v/>
      </c>
      <c r="H101" s="15" t="inlineStr"/>
    </row>
    <row r="102" ht="16" customHeight="1">
      <c r="A102" s="16" t="inlineStr">
        <is>
          <t>Measured kW/ton</t>
        </is>
      </c>
      <c r="B102" s="17" t="inlineStr"/>
      <c r="C102" s="28" t="inlineStr"/>
      <c r="D102" s="17" t="inlineStr">
        <is>
          <t>kW/ton</t>
        </is>
      </c>
      <c r="E102" s="17">
        <f>IF(AND(B102&lt;&gt;"",C102&lt;&gt;"",B102&lt;&gt;0),ROUND((C102-B102)/B102*100,1),"")</f>
        <v/>
      </c>
      <c r="F102" s="17" t="inlineStr">
        <is>
          <t>≤ design kW/ton</t>
        </is>
      </c>
      <c r="G102" s="23">
        <f>IF(E102="","",IF(ABS(E102)&lt;=10,"✔ Accept","✘ Reject"))</f>
        <v/>
      </c>
      <c r="H102" s="17" t="inlineStr"/>
    </row>
    <row r="103" ht="6" customHeight="1"/>
    <row r="104" ht="6" customHeight="1">
      <c r="A104" s="3" t="n"/>
    </row>
    <row r="105" ht="18" customHeight="1">
      <c r="A105" s="22" t="inlineStr">
        <is>
          <t>Your HVAC Co.  •  HVAC Test &amp; Balance Report  •  Rogers, AR  •  (555) 867-5309  •  www.yourhvac.com  •  NEBB / AABC Certified</t>
        </is>
      </c>
    </row>
  </sheetData>
  <mergeCells count="15">
    <mergeCell ref="A3:H3"/>
    <mergeCell ref="A105:H105"/>
    <mergeCell ref="A57:H57"/>
    <mergeCell ref="A73:H73"/>
    <mergeCell ref="A2:H2"/>
    <mergeCell ref="F1:H1"/>
    <mergeCell ref="A104:H104"/>
    <mergeCell ref="A1:E1"/>
    <mergeCell ref="A58:H58"/>
    <mergeCell ref="A5:H5"/>
    <mergeCell ref="A23:H23"/>
    <mergeCell ref="A89:H89"/>
    <mergeCell ref="A6:H6"/>
    <mergeCell ref="A88:H88"/>
    <mergeCell ref="A40:H40"/>
  </mergeCell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H89"/>
  <sheetViews>
    <sheetView showGridLines="0" workbookViewId="0">
      <selection activeCell="A1" sqref="A1"/>
    </sheetView>
  </sheetViews>
  <sheetFormatPr baseColWidth="8" defaultRowHeight="15"/>
  <cols>
    <col width="4" customWidth="1" min="1" max="1"/>
    <col width="22" customWidth="1" min="2" max="2"/>
    <col width="12" customWidth="1" min="3" max="3"/>
    <col width="12" customWidth="1" min="4" max="4"/>
    <col width="12" customWidth="1" min="5" max="5"/>
    <col width="14" customWidth="1" min="6" max="6"/>
    <col width="12" customWidth="1" min="7" max="7"/>
    <col width="15" customWidth="1" min="8" max="8"/>
  </cols>
  <sheetData>
    <row r="1" ht="30" customHeight="1">
      <c r="A1" s="1" t="inlineStr">
        <is>
          <t>Your HVAC Co.</t>
        </is>
      </c>
      <c r="F1" s="2" t="inlineStr">
        <is>
          <t>DEVIATIONS, RETEST LOG &amp; CERTIFICATION</t>
        </is>
      </c>
    </row>
    <row r="2" ht="6" customHeight="1">
      <c r="A2" s="3" t="n"/>
    </row>
    <row r="3" ht="16" customHeight="1">
      <c r="A3" s="4" t="inlineStr">
        <is>
          <t>HVAC Test &amp; Balance Report  •  Rogers, AR  •  (555) 867-5309  •  www.yourhvac.com  •  NEBB / AABC Certified TAB Agency</t>
        </is>
      </c>
    </row>
    <row r="4" ht="6" customHeight="1"/>
    <row r="5" ht="22" customHeight="1">
      <c r="A5" s="7" t="inlineStr">
        <is>
          <t xml:space="preserve">  ⚠️  SECTION 12 — TAB DEVIATION &amp; DEFICIENCY LOG</t>
        </is>
      </c>
      <c r="B5" s="8" t="n"/>
      <c r="C5" s="8" t="n"/>
      <c r="D5" s="8" t="n"/>
      <c r="E5" s="8" t="n"/>
      <c r="F5" s="8" t="n"/>
      <c r="G5" s="8" t="n"/>
      <c r="H5" s="8" t="n"/>
    </row>
    <row r="6" ht="16" customHeight="1">
      <c r="A6" s="13" t="inlineStr">
        <is>
          <t>Item #</t>
        </is>
      </c>
      <c r="B6" s="13" t="inlineStr">
        <is>
          <t>System / Terminal</t>
        </is>
      </c>
      <c r="C6" s="13" t="inlineStr">
        <is>
          <t>Parameter</t>
        </is>
      </c>
      <c r="D6" s="13" t="inlineStr">
        <is>
          <t>Design Value</t>
        </is>
      </c>
      <c r="E6" s="13" t="inlineStr">
        <is>
          <t>Actual Value</t>
        </is>
      </c>
      <c r="F6" s="13" t="inlineStr">
        <is>
          <t>% Deviation</t>
        </is>
      </c>
      <c r="G6" s="13" t="inlineStr">
        <is>
          <t>Disposition</t>
        </is>
      </c>
      <c r="H6" s="13" t="inlineStr">
        <is>
          <t>Resolution / Notes</t>
        </is>
      </c>
    </row>
    <row r="7" ht="20" customHeight="1">
      <c r="A7" s="35" t="n">
        <v>1</v>
      </c>
      <c r="B7" s="29" t="n"/>
      <c r="C7" s="17" t="n"/>
      <c r="D7" s="17" t="n"/>
      <c r="E7" s="17" t="n"/>
      <c r="F7" s="17" t="n"/>
      <c r="G7" s="18" t="inlineStr">
        <is>
          <t>☐ Accepted As-Is  ☐ Retest  ☐ Pending EC</t>
        </is>
      </c>
      <c r="H7" s="29" t="n"/>
    </row>
    <row r="8" ht="20" customHeight="1">
      <c r="A8" s="36" t="n">
        <v>2</v>
      </c>
      <c r="B8" s="30" t="n"/>
      <c r="C8" s="15" t="n"/>
      <c r="D8" s="15" t="n"/>
      <c r="E8" s="15" t="n"/>
      <c r="F8" s="15" t="n"/>
      <c r="G8" s="19" t="inlineStr">
        <is>
          <t>☐ Accepted As-Is  ☐ Retest  ☐ Pending EC</t>
        </is>
      </c>
      <c r="H8" s="30" t="n"/>
    </row>
    <row r="9" ht="20" customHeight="1">
      <c r="A9" s="35" t="n">
        <v>3</v>
      </c>
      <c r="B9" s="29" t="n"/>
      <c r="C9" s="17" t="n"/>
      <c r="D9" s="17" t="n"/>
      <c r="E9" s="17" t="n"/>
      <c r="F9" s="17" t="n"/>
      <c r="G9" s="18" t="inlineStr">
        <is>
          <t>☐ Accepted As-Is  ☐ Retest  ☐ Pending EC</t>
        </is>
      </c>
      <c r="H9" s="29" t="n"/>
    </row>
    <row r="10" ht="20" customHeight="1">
      <c r="A10" s="36" t="n">
        <v>4</v>
      </c>
      <c r="B10" s="30" t="n"/>
      <c r="C10" s="15" t="n"/>
      <c r="D10" s="15" t="n"/>
      <c r="E10" s="15" t="n"/>
      <c r="F10" s="15" t="n"/>
      <c r="G10" s="19" t="inlineStr">
        <is>
          <t>☐ Accepted As-Is  ☐ Retest  ☐ Pending EC</t>
        </is>
      </c>
      <c r="H10" s="30" t="n"/>
    </row>
    <row r="11" ht="20" customHeight="1">
      <c r="A11" s="35" t="n">
        <v>5</v>
      </c>
      <c r="B11" s="29" t="n"/>
      <c r="C11" s="17" t="n"/>
      <c r="D11" s="17" t="n"/>
      <c r="E11" s="17" t="n"/>
      <c r="F11" s="17" t="n"/>
      <c r="G11" s="18" t="inlineStr">
        <is>
          <t>☐ Accepted As-Is  ☐ Retest  ☐ Pending EC</t>
        </is>
      </c>
      <c r="H11" s="29" t="n"/>
    </row>
    <row r="12" ht="20" customHeight="1">
      <c r="A12" s="36" t="n">
        <v>6</v>
      </c>
      <c r="B12" s="30" t="n"/>
      <c r="C12" s="15" t="n"/>
      <c r="D12" s="15" t="n"/>
      <c r="E12" s="15" t="n"/>
      <c r="F12" s="15" t="n"/>
      <c r="G12" s="19" t="inlineStr">
        <is>
          <t>☐ Accepted As-Is  ☐ Retest  ☐ Pending EC</t>
        </is>
      </c>
      <c r="H12" s="30" t="n"/>
    </row>
    <row r="13" ht="20" customHeight="1">
      <c r="A13" s="35" t="n">
        <v>7</v>
      </c>
      <c r="B13" s="29" t="n"/>
      <c r="C13" s="17" t="n"/>
      <c r="D13" s="17" t="n"/>
      <c r="E13" s="17" t="n"/>
      <c r="F13" s="17" t="n"/>
      <c r="G13" s="18" t="inlineStr">
        <is>
          <t>☐ Accepted As-Is  ☐ Retest  ☐ Pending EC</t>
        </is>
      </c>
      <c r="H13" s="29" t="n"/>
    </row>
    <row r="14" ht="20" customHeight="1">
      <c r="A14" s="36" t="n">
        <v>8</v>
      </c>
      <c r="B14" s="30" t="n"/>
      <c r="C14" s="15" t="n"/>
      <c r="D14" s="15" t="n"/>
      <c r="E14" s="15" t="n"/>
      <c r="F14" s="15" t="n"/>
      <c r="G14" s="19" t="inlineStr">
        <is>
          <t>☐ Accepted As-Is  ☐ Retest  ☐ Pending EC</t>
        </is>
      </c>
      <c r="H14" s="30" t="n"/>
    </row>
    <row r="15" ht="20" customHeight="1">
      <c r="A15" s="35" t="n">
        <v>9</v>
      </c>
      <c r="B15" s="29" t="n"/>
      <c r="C15" s="17" t="n"/>
      <c r="D15" s="17" t="n"/>
      <c r="E15" s="17" t="n"/>
      <c r="F15" s="17" t="n"/>
      <c r="G15" s="18" t="inlineStr">
        <is>
          <t>☐ Accepted As-Is  ☐ Retest  ☐ Pending EC</t>
        </is>
      </c>
      <c r="H15" s="29" t="n"/>
    </row>
    <row r="16" ht="20" customHeight="1">
      <c r="A16" s="36" t="n">
        <v>10</v>
      </c>
      <c r="B16" s="30" t="n"/>
      <c r="C16" s="15" t="n"/>
      <c r="D16" s="15" t="n"/>
      <c r="E16" s="15" t="n"/>
      <c r="F16" s="15" t="n"/>
      <c r="G16" s="19" t="inlineStr">
        <is>
          <t>☐ Accepted As-Is  ☐ Retest  ☐ Pending EC</t>
        </is>
      </c>
      <c r="H16" s="30" t="n"/>
    </row>
    <row r="17" ht="20" customHeight="1">
      <c r="A17" s="35" t="n">
        <v>11</v>
      </c>
      <c r="B17" s="29" t="n"/>
      <c r="C17" s="17" t="n"/>
      <c r="D17" s="17" t="n"/>
      <c r="E17" s="17" t="n"/>
      <c r="F17" s="17" t="n"/>
      <c r="G17" s="18" t="inlineStr">
        <is>
          <t>☐ Accepted As-Is  ☐ Retest  ☐ Pending EC</t>
        </is>
      </c>
      <c r="H17" s="29" t="n"/>
    </row>
    <row r="18" ht="20" customHeight="1">
      <c r="A18" s="36" t="n">
        <v>12</v>
      </c>
      <c r="B18" s="30" t="n"/>
      <c r="C18" s="15" t="n"/>
      <c r="D18" s="15" t="n"/>
      <c r="E18" s="15" t="n"/>
      <c r="F18" s="15" t="n"/>
      <c r="G18" s="19" t="inlineStr">
        <is>
          <t>☐ Accepted As-Is  ☐ Retest  ☐ Pending EC</t>
        </is>
      </c>
      <c r="H18" s="30" t="n"/>
    </row>
    <row r="19" ht="20" customHeight="1">
      <c r="A19" s="35" t="n">
        <v>13</v>
      </c>
      <c r="B19" s="29" t="n"/>
      <c r="C19" s="17" t="n"/>
      <c r="D19" s="17" t="n"/>
      <c r="E19" s="17" t="n"/>
      <c r="F19" s="17" t="n"/>
      <c r="G19" s="18" t="inlineStr">
        <is>
          <t>☐ Accepted As-Is  ☐ Retest  ☐ Pending EC</t>
        </is>
      </c>
      <c r="H19" s="29" t="n"/>
    </row>
    <row r="20" ht="20" customHeight="1">
      <c r="A20" s="36" t="n">
        <v>14</v>
      </c>
      <c r="B20" s="30" t="n"/>
      <c r="C20" s="15" t="n"/>
      <c r="D20" s="15" t="n"/>
      <c r="E20" s="15" t="n"/>
      <c r="F20" s="15" t="n"/>
      <c r="G20" s="19" t="inlineStr">
        <is>
          <t>☐ Accepted As-Is  ☐ Retest  ☐ Pending EC</t>
        </is>
      </c>
      <c r="H20" s="30" t="n"/>
    </row>
    <row r="21" ht="20" customHeight="1">
      <c r="A21" s="35" t="n">
        <v>15</v>
      </c>
      <c r="B21" s="29" t="n"/>
      <c r="C21" s="17" t="n"/>
      <c r="D21" s="17" t="n"/>
      <c r="E21" s="17" t="n"/>
      <c r="F21" s="17" t="n"/>
      <c r="G21" s="18" t="inlineStr">
        <is>
          <t>☐ Accepted As-Is  ☐ Retest  ☐ Pending EC</t>
        </is>
      </c>
      <c r="H21" s="29" t="n"/>
    </row>
    <row r="22" ht="20" customHeight="1">
      <c r="A22" s="36" t="n">
        <v>16</v>
      </c>
      <c r="B22" s="30" t="n"/>
      <c r="C22" s="15" t="n"/>
      <c r="D22" s="15" t="n"/>
      <c r="E22" s="15" t="n"/>
      <c r="F22" s="15" t="n"/>
      <c r="G22" s="19" t="inlineStr">
        <is>
          <t>☐ Accepted As-Is  ☐ Retest  ☐ Pending EC</t>
        </is>
      </c>
      <c r="H22" s="30" t="n"/>
    </row>
    <row r="23" ht="20" customHeight="1">
      <c r="A23" s="35" t="n">
        <v>17</v>
      </c>
      <c r="B23" s="29" t="n"/>
      <c r="C23" s="17" t="n"/>
      <c r="D23" s="17" t="n"/>
      <c r="E23" s="17" t="n"/>
      <c r="F23" s="17" t="n"/>
      <c r="G23" s="18" t="inlineStr">
        <is>
          <t>☐ Accepted As-Is  ☐ Retest  ☐ Pending EC</t>
        </is>
      </c>
      <c r="H23" s="29" t="n"/>
    </row>
    <row r="24" ht="20" customHeight="1">
      <c r="A24" s="36" t="n">
        <v>18</v>
      </c>
      <c r="B24" s="30" t="n"/>
      <c r="C24" s="15" t="n"/>
      <c r="D24" s="15" t="n"/>
      <c r="E24" s="15" t="n"/>
      <c r="F24" s="15" t="n"/>
      <c r="G24" s="19" t="inlineStr">
        <is>
          <t>☐ Accepted As-Is  ☐ Retest  ☐ Pending EC</t>
        </is>
      </c>
      <c r="H24" s="30" t="n"/>
    </row>
    <row r="25" ht="20" customHeight="1">
      <c r="A25" s="35" t="n">
        <v>19</v>
      </c>
      <c r="B25" s="29" t="n"/>
      <c r="C25" s="17" t="n"/>
      <c r="D25" s="17" t="n"/>
      <c r="E25" s="17" t="n"/>
      <c r="F25" s="17" t="n"/>
      <c r="G25" s="18" t="inlineStr">
        <is>
          <t>☐ Accepted As-Is  ☐ Retest  ☐ Pending EC</t>
        </is>
      </c>
      <c r="H25" s="29" t="n"/>
    </row>
    <row r="26" ht="20" customHeight="1">
      <c r="A26" s="36" t="n">
        <v>20</v>
      </c>
      <c r="B26" s="30" t="n"/>
      <c r="C26" s="15" t="n"/>
      <c r="D26" s="15" t="n"/>
      <c r="E26" s="15" t="n"/>
      <c r="F26" s="15" t="n"/>
      <c r="G26" s="19" t="inlineStr">
        <is>
          <t>☐ Accepted As-Is  ☐ Retest  ☐ Pending EC</t>
        </is>
      </c>
      <c r="H26" s="30" t="n"/>
    </row>
    <row r="27" ht="20" customHeight="1">
      <c r="A27" s="35" t="n">
        <v>21</v>
      </c>
      <c r="B27" s="29" t="n"/>
      <c r="C27" s="17" t="n"/>
      <c r="D27" s="17" t="n"/>
      <c r="E27" s="17" t="n"/>
      <c r="F27" s="17" t="n"/>
      <c r="G27" s="18" t="inlineStr">
        <is>
          <t>☐ Accepted As-Is  ☐ Retest  ☐ Pending EC</t>
        </is>
      </c>
      <c r="H27" s="29" t="n"/>
    </row>
    <row r="28" ht="20" customHeight="1">
      <c r="A28" s="36" t="n">
        <v>22</v>
      </c>
      <c r="B28" s="30" t="n"/>
      <c r="C28" s="15" t="n"/>
      <c r="D28" s="15" t="n"/>
      <c r="E28" s="15" t="n"/>
      <c r="F28" s="15" t="n"/>
      <c r="G28" s="19" t="inlineStr">
        <is>
          <t>☐ Accepted As-Is  ☐ Retest  ☐ Pending EC</t>
        </is>
      </c>
      <c r="H28" s="30" t="n"/>
    </row>
    <row r="29" ht="20" customHeight="1">
      <c r="A29" s="35" t="n">
        <v>23</v>
      </c>
      <c r="B29" s="29" t="n"/>
      <c r="C29" s="17" t="n"/>
      <c r="D29" s="17" t="n"/>
      <c r="E29" s="17" t="n"/>
      <c r="F29" s="17" t="n"/>
      <c r="G29" s="18" t="inlineStr">
        <is>
          <t>☐ Accepted As-Is  ☐ Retest  ☐ Pending EC</t>
        </is>
      </c>
      <c r="H29" s="29" t="n"/>
    </row>
    <row r="30" ht="20" customHeight="1">
      <c r="A30" s="36" t="n">
        <v>24</v>
      </c>
      <c r="B30" s="30" t="n"/>
      <c r="C30" s="15" t="n"/>
      <c r="D30" s="15" t="n"/>
      <c r="E30" s="15" t="n"/>
      <c r="F30" s="15" t="n"/>
      <c r="G30" s="19" t="inlineStr">
        <is>
          <t>☐ Accepted As-Is  ☐ Retest  ☐ Pending EC</t>
        </is>
      </c>
      <c r="H30" s="30" t="n"/>
    </row>
    <row r="31" ht="20" customHeight="1">
      <c r="A31" s="35" t="n">
        <v>25</v>
      </c>
      <c r="B31" s="29" t="n"/>
      <c r="C31" s="17" t="n"/>
      <c r="D31" s="17" t="n"/>
      <c r="E31" s="17" t="n"/>
      <c r="F31" s="17" t="n"/>
      <c r="G31" s="18" t="inlineStr">
        <is>
          <t>☐ Accepted As-Is  ☐ Retest  ☐ Pending EC</t>
        </is>
      </c>
      <c r="H31" s="29" t="n"/>
    </row>
    <row r="32" ht="6" customHeight="1"/>
    <row r="33" ht="22" customHeight="1">
      <c r="A33" s="7" t="inlineStr">
        <is>
          <t xml:space="preserve">  🔄  SECTION 13 — RETEST LOG</t>
        </is>
      </c>
      <c r="B33" s="8" t="n"/>
      <c r="C33" s="8" t="n"/>
      <c r="D33" s="8" t="n"/>
      <c r="E33" s="8" t="n"/>
      <c r="F33" s="8" t="n"/>
      <c r="G33" s="8" t="n"/>
      <c r="H33" s="8" t="n"/>
    </row>
    <row r="34" ht="16" customHeight="1">
      <c r="A34" s="13" t="inlineStr">
        <is>
          <t>Retest #</t>
        </is>
      </c>
      <c r="B34" s="13" t="inlineStr">
        <is>
          <t>Date of Retest</t>
        </is>
      </c>
      <c r="C34" s="13" t="inlineStr">
        <is>
          <t>System / Location</t>
        </is>
      </c>
      <c r="D34" s="13" t="inlineStr">
        <is>
          <t>Parameter Retested</t>
        </is>
      </c>
      <c r="E34" s="13" t="inlineStr">
        <is>
          <t>Pre-Adjust Value</t>
        </is>
      </c>
      <c r="F34" s="13" t="inlineStr">
        <is>
          <t>Post-Adjust Value</t>
        </is>
      </c>
      <c r="G34" s="13" t="inlineStr">
        <is>
          <t>% Dev. (Final)</t>
        </is>
      </c>
      <c r="H34" s="13" t="inlineStr">
        <is>
          <t>Status</t>
        </is>
      </c>
    </row>
    <row r="35" ht="17" customHeight="1">
      <c r="A35" s="35" t="n">
        <v>1</v>
      </c>
      <c r="B35" s="17" t="n"/>
      <c r="C35" s="29" t="n"/>
      <c r="D35" s="17" t="n"/>
      <c r="E35" s="17" t="n"/>
      <c r="F35" s="17" t="n"/>
      <c r="G35" s="17" t="n"/>
      <c r="H35" s="18" t="inlineStr">
        <is>
          <t>☐ Pass  ☐ Fail  ☐ Pending</t>
        </is>
      </c>
    </row>
    <row r="36" ht="17" customHeight="1">
      <c r="A36" s="36" t="n">
        <v>2</v>
      </c>
      <c r="B36" s="15" t="n"/>
      <c r="C36" s="30" t="n"/>
      <c r="D36" s="15" t="n"/>
      <c r="E36" s="15" t="n"/>
      <c r="F36" s="15" t="n"/>
      <c r="G36" s="15" t="n"/>
      <c r="H36" s="19" t="inlineStr">
        <is>
          <t>☐ Pass  ☐ Fail  ☐ Pending</t>
        </is>
      </c>
    </row>
    <row r="37" ht="17" customHeight="1">
      <c r="A37" s="35" t="n">
        <v>3</v>
      </c>
      <c r="B37" s="17" t="n"/>
      <c r="C37" s="29" t="n"/>
      <c r="D37" s="17" t="n"/>
      <c r="E37" s="17" t="n"/>
      <c r="F37" s="17" t="n"/>
      <c r="G37" s="17" t="n"/>
      <c r="H37" s="18" t="inlineStr">
        <is>
          <t>☐ Pass  ☐ Fail  ☐ Pending</t>
        </is>
      </c>
    </row>
    <row r="38" ht="17" customHeight="1">
      <c r="A38" s="36" t="n">
        <v>4</v>
      </c>
      <c r="B38" s="15" t="n"/>
      <c r="C38" s="30" t="n"/>
      <c r="D38" s="15" t="n"/>
      <c r="E38" s="15" t="n"/>
      <c r="F38" s="15" t="n"/>
      <c r="G38" s="15" t="n"/>
      <c r="H38" s="19" t="inlineStr">
        <is>
          <t>☐ Pass  ☐ Fail  ☐ Pending</t>
        </is>
      </c>
    </row>
    <row r="39" ht="17" customHeight="1">
      <c r="A39" s="35" t="n">
        <v>5</v>
      </c>
      <c r="B39" s="17" t="n"/>
      <c r="C39" s="29" t="n"/>
      <c r="D39" s="17" t="n"/>
      <c r="E39" s="17" t="n"/>
      <c r="F39" s="17" t="n"/>
      <c r="G39" s="17" t="n"/>
      <c r="H39" s="18" t="inlineStr">
        <is>
          <t>☐ Pass  ☐ Fail  ☐ Pending</t>
        </is>
      </c>
    </row>
    <row r="40" ht="17" customHeight="1">
      <c r="A40" s="36" t="n">
        <v>6</v>
      </c>
      <c r="B40" s="15" t="n"/>
      <c r="C40" s="30" t="n"/>
      <c r="D40" s="15" t="n"/>
      <c r="E40" s="15" t="n"/>
      <c r="F40" s="15" t="n"/>
      <c r="G40" s="15" t="n"/>
      <c r="H40" s="19" t="inlineStr">
        <is>
          <t>☐ Pass  ☐ Fail  ☐ Pending</t>
        </is>
      </c>
    </row>
    <row r="41" ht="17" customHeight="1">
      <c r="A41" s="35" t="n">
        <v>7</v>
      </c>
      <c r="B41" s="17" t="n"/>
      <c r="C41" s="29" t="n"/>
      <c r="D41" s="17" t="n"/>
      <c r="E41" s="17" t="n"/>
      <c r="F41" s="17" t="n"/>
      <c r="G41" s="17" t="n"/>
      <c r="H41" s="18" t="inlineStr">
        <is>
          <t>☐ Pass  ☐ Fail  ☐ Pending</t>
        </is>
      </c>
    </row>
    <row r="42" ht="17" customHeight="1">
      <c r="A42" s="36" t="n">
        <v>8</v>
      </c>
      <c r="B42" s="15" t="n"/>
      <c r="C42" s="30" t="n"/>
      <c r="D42" s="15" t="n"/>
      <c r="E42" s="15" t="n"/>
      <c r="F42" s="15" t="n"/>
      <c r="G42" s="15" t="n"/>
      <c r="H42" s="19" t="inlineStr">
        <is>
          <t>☐ Pass  ☐ Fail  ☐ Pending</t>
        </is>
      </c>
    </row>
    <row r="43" ht="17" customHeight="1">
      <c r="A43" s="35" t="n">
        <v>9</v>
      </c>
      <c r="B43" s="17" t="n"/>
      <c r="C43" s="29" t="n"/>
      <c r="D43" s="17" t="n"/>
      <c r="E43" s="17" t="n"/>
      <c r="F43" s="17" t="n"/>
      <c r="G43" s="17" t="n"/>
      <c r="H43" s="18" t="inlineStr">
        <is>
          <t>☐ Pass  ☐ Fail  ☐ Pending</t>
        </is>
      </c>
    </row>
    <row r="44" ht="17" customHeight="1">
      <c r="A44" s="36" t="n">
        <v>10</v>
      </c>
      <c r="B44" s="15" t="n"/>
      <c r="C44" s="30" t="n"/>
      <c r="D44" s="15" t="n"/>
      <c r="E44" s="15" t="n"/>
      <c r="F44" s="15" t="n"/>
      <c r="G44" s="15" t="n"/>
      <c r="H44" s="19" t="inlineStr">
        <is>
          <t>☐ Pass  ☐ Fail  ☐ Pending</t>
        </is>
      </c>
    </row>
    <row r="45" ht="17" customHeight="1">
      <c r="A45" s="35" t="n">
        <v>11</v>
      </c>
      <c r="B45" s="17" t="n"/>
      <c r="C45" s="29" t="n"/>
      <c r="D45" s="17" t="n"/>
      <c r="E45" s="17" t="n"/>
      <c r="F45" s="17" t="n"/>
      <c r="G45" s="17" t="n"/>
      <c r="H45" s="18" t="inlineStr">
        <is>
          <t>☐ Pass  ☐ Fail  ☐ Pending</t>
        </is>
      </c>
    </row>
    <row r="46" ht="17" customHeight="1">
      <c r="A46" s="36" t="n">
        <v>12</v>
      </c>
      <c r="B46" s="15" t="n"/>
      <c r="C46" s="30" t="n"/>
      <c r="D46" s="15" t="n"/>
      <c r="E46" s="15" t="n"/>
      <c r="F46" s="15" t="n"/>
      <c r="G46" s="15" t="n"/>
      <c r="H46" s="19" t="inlineStr">
        <is>
          <t>☐ Pass  ☐ Fail  ☐ Pending</t>
        </is>
      </c>
    </row>
    <row r="47" ht="17" customHeight="1">
      <c r="A47" s="35" t="n">
        <v>13</v>
      </c>
      <c r="B47" s="17" t="n"/>
      <c r="C47" s="29" t="n"/>
      <c r="D47" s="17" t="n"/>
      <c r="E47" s="17" t="n"/>
      <c r="F47" s="17" t="n"/>
      <c r="G47" s="17" t="n"/>
      <c r="H47" s="18" t="inlineStr">
        <is>
          <t>☐ Pass  ☐ Fail  ☐ Pending</t>
        </is>
      </c>
    </row>
    <row r="48" ht="17" customHeight="1">
      <c r="A48" s="36" t="n">
        <v>14</v>
      </c>
      <c r="B48" s="15" t="n"/>
      <c r="C48" s="30" t="n"/>
      <c r="D48" s="15" t="n"/>
      <c r="E48" s="15" t="n"/>
      <c r="F48" s="15" t="n"/>
      <c r="G48" s="15" t="n"/>
      <c r="H48" s="19" t="inlineStr">
        <is>
          <t>☐ Pass  ☐ Fail  ☐ Pending</t>
        </is>
      </c>
    </row>
    <row r="49" ht="17" customHeight="1">
      <c r="A49" s="35" t="n">
        <v>15</v>
      </c>
      <c r="B49" s="17" t="n"/>
      <c r="C49" s="29" t="n"/>
      <c r="D49" s="17" t="n"/>
      <c r="E49" s="17" t="n"/>
      <c r="F49" s="17" t="n"/>
      <c r="G49" s="17" t="n"/>
      <c r="H49" s="18" t="inlineStr">
        <is>
          <t>☐ Pass  ☐ Fail  ☐ Pending</t>
        </is>
      </c>
    </row>
    <row r="50" ht="6" customHeight="1"/>
    <row r="51" ht="22" customHeight="1">
      <c r="A51" s="7" t="inlineStr">
        <is>
          <t xml:space="preserve">  🔬  SECTION 14 — INSTRUMENTS USED &amp; CALIBRATION RECORD</t>
        </is>
      </c>
      <c r="B51" s="8" t="n"/>
      <c r="C51" s="8" t="n"/>
      <c r="D51" s="8" t="n"/>
      <c r="E51" s="8" t="n"/>
      <c r="F51" s="8" t="n"/>
      <c r="G51" s="8" t="n"/>
      <c r="H51" s="8" t="n"/>
    </row>
    <row r="52" ht="16" customHeight="1">
      <c r="A52" s="13" t="inlineStr">
        <is>
          <t>Instrument</t>
        </is>
      </c>
      <c r="B52" s="13" t="inlineStr">
        <is>
          <t>Manufacturer / Model</t>
        </is>
      </c>
      <c r="C52" s="13" t="inlineStr">
        <is>
          <t>Serial Number</t>
        </is>
      </c>
      <c r="D52" s="13" t="inlineStr">
        <is>
          <t>Cal. Date</t>
        </is>
      </c>
      <c r="E52" s="13" t="inlineStr">
        <is>
          <t>Cal. Due Date</t>
        </is>
      </c>
      <c r="F52" s="13" t="inlineStr">
        <is>
          <t>Cal. Agency</t>
        </is>
      </c>
      <c r="G52" s="13" t="inlineStr">
        <is>
          <t>Accuracy</t>
        </is>
      </c>
      <c r="H52" s="13" t="inlineStr">
        <is>
          <t>Notes</t>
        </is>
      </c>
    </row>
    <row r="53" ht="17" customHeight="1">
      <c r="A53" s="14" t="inlineStr">
        <is>
          <t>Pitot Tube / Manometer</t>
        </is>
      </c>
      <c r="B53" s="15" t="n"/>
      <c r="C53" s="15" t="n"/>
      <c r="D53" s="15" t="n"/>
      <c r="E53" s="15" t="n"/>
      <c r="F53" s="15" t="n"/>
      <c r="G53" s="15" t="n"/>
      <c r="H53" s="15" t="n"/>
    </row>
    <row r="54" ht="17" customHeight="1">
      <c r="A54" s="16" t="inlineStr">
        <is>
          <t>Capture Hood (flow hood)</t>
        </is>
      </c>
      <c r="B54" s="17" t="n"/>
      <c r="C54" s="17" t="n"/>
      <c r="D54" s="17" t="n"/>
      <c r="E54" s="17" t="n"/>
      <c r="F54" s="17" t="n"/>
      <c r="G54" s="17" t="n"/>
      <c r="H54" s="17" t="n"/>
    </row>
    <row r="55" ht="17" customHeight="1">
      <c r="A55" s="14" t="inlineStr">
        <is>
          <t>Rotating Vane Anemometer</t>
        </is>
      </c>
      <c r="B55" s="15" t="n"/>
      <c r="C55" s="15" t="n"/>
      <c r="D55" s="15" t="n"/>
      <c r="E55" s="15" t="n"/>
      <c r="F55" s="15" t="n"/>
      <c r="G55" s="15" t="n"/>
      <c r="H55" s="15" t="n"/>
    </row>
    <row r="56" ht="17" customHeight="1">
      <c r="A56" s="16" t="inlineStr">
        <is>
          <t>Hot-Wire Anemometer</t>
        </is>
      </c>
      <c r="B56" s="17" t="n"/>
      <c r="C56" s="17" t="n"/>
      <c r="D56" s="17" t="n"/>
      <c r="E56" s="17" t="n"/>
      <c r="F56" s="17" t="n"/>
      <c r="G56" s="17" t="n"/>
      <c r="H56" s="17" t="n"/>
    </row>
    <row r="57" ht="17" customHeight="1">
      <c r="A57" s="14" t="inlineStr">
        <is>
          <t>Digital Manometer (high range)</t>
        </is>
      </c>
      <c r="B57" s="15" t="n"/>
      <c r="C57" s="15" t="n"/>
      <c r="D57" s="15" t="n"/>
      <c r="E57" s="15" t="n"/>
      <c r="F57" s="15" t="n"/>
      <c r="G57" s="15" t="n"/>
      <c r="H57" s="15" t="n"/>
    </row>
    <row r="58" ht="17" customHeight="1">
      <c r="A58" s="16" t="inlineStr">
        <is>
          <t>Digital Manometer (low range)</t>
        </is>
      </c>
      <c r="B58" s="17" t="n"/>
      <c r="C58" s="17" t="n"/>
      <c r="D58" s="17" t="n"/>
      <c r="E58" s="17" t="n"/>
      <c r="F58" s="17" t="n"/>
      <c r="G58" s="17" t="n"/>
      <c r="H58" s="17" t="n"/>
    </row>
    <row r="59" ht="17" customHeight="1">
      <c r="A59" s="14" t="inlineStr">
        <is>
          <t>Clamp-On Ammeter</t>
        </is>
      </c>
      <c r="B59" s="15" t="n"/>
      <c r="C59" s="15" t="n"/>
      <c r="D59" s="15" t="n"/>
      <c r="E59" s="15" t="n"/>
      <c r="F59" s="15" t="n"/>
      <c r="G59" s="15" t="n"/>
      <c r="H59" s="15" t="n"/>
    </row>
    <row r="60" ht="17" customHeight="1">
      <c r="A60" s="16" t="inlineStr">
        <is>
          <t>True-RMS Voltmeter</t>
        </is>
      </c>
      <c r="B60" s="17" t="n"/>
      <c r="C60" s="17" t="n"/>
      <c r="D60" s="17" t="n"/>
      <c r="E60" s="17" t="n"/>
      <c r="F60" s="17" t="n"/>
      <c r="G60" s="17" t="n"/>
      <c r="H60" s="17" t="n"/>
    </row>
    <row r="61" ht="17" customHeight="1">
      <c r="A61" s="14" t="inlineStr">
        <is>
          <t>Tachometer (contact / optical)</t>
        </is>
      </c>
      <c r="B61" s="15" t="n"/>
      <c r="C61" s="15" t="n"/>
      <c r="D61" s="15" t="n"/>
      <c r="E61" s="15" t="n"/>
      <c r="F61" s="15" t="n"/>
      <c r="G61" s="15" t="n"/>
      <c r="H61" s="15" t="n"/>
    </row>
    <row r="62" ht="17" customHeight="1">
      <c r="A62" s="16" t="inlineStr">
        <is>
          <t>Calibrated Pressure Gauge</t>
        </is>
      </c>
      <c r="B62" s="17" t="n"/>
      <c r="C62" s="17" t="n"/>
      <c r="D62" s="17" t="n"/>
      <c r="E62" s="17" t="n"/>
      <c r="F62" s="17" t="n"/>
      <c r="G62" s="17" t="n"/>
      <c r="H62" s="17" t="n"/>
    </row>
    <row r="63" ht="17" customHeight="1">
      <c r="A63" s="14" t="inlineStr">
        <is>
          <t>Temperature / RH Data Logger</t>
        </is>
      </c>
      <c r="B63" s="15" t="n"/>
      <c r="C63" s="15" t="n"/>
      <c r="D63" s="15" t="n"/>
      <c r="E63" s="15" t="n"/>
      <c r="F63" s="15" t="n"/>
      <c r="G63" s="15" t="n"/>
      <c r="H63" s="15" t="n"/>
    </row>
    <row r="64" ht="17" customHeight="1">
      <c r="A64" s="16" t="inlineStr">
        <is>
          <t>CO2 Meter (NDIR)</t>
        </is>
      </c>
      <c r="B64" s="17" t="n"/>
      <c r="C64" s="17" t="n"/>
      <c r="D64" s="17" t="n"/>
      <c r="E64" s="17" t="n"/>
      <c r="F64" s="17" t="n"/>
      <c r="G64" s="17" t="n"/>
      <c r="H64" s="17" t="n"/>
    </row>
    <row r="65" ht="17" customHeight="1">
      <c r="A65" s="14" t="inlineStr">
        <is>
          <t>Sound Level Meter</t>
        </is>
      </c>
      <c r="B65" s="15" t="n"/>
      <c r="C65" s="15" t="n"/>
      <c r="D65" s="15" t="n"/>
      <c r="E65" s="15" t="n"/>
      <c r="F65" s="15" t="n"/>
      <c r="G65" s="15" t="n"/>
      <c r="H65" s="15" t="n"/>
    </row>
    <row r="66" ht="17" customHeight="1">
      <c r="A66" s="16" t="inlineStr">
        <is>
          <t>Flow Meter (hydronic)</t>
        </is>
      </c>
      <c r="B66" s="17" t="n"/>
      <c r="C66" s="17" t="n"/>
      <c r="D66" s="17" t="n"/>
      <c r="E66" s="17" t="n"/>
      <c r="F66" s="17" t="n"/>
      <c r="G66" s="17" t="n"/>
      <c r="H66" s="17" t="n"/>
    </row>
    <row r="67" ht="17" customHeight="1">
      <c r="A67" s="14" t="inlineStr">
        <is>
          <t>Differential Pressure Gauge</t>
        </is>
      </c>
      <c r="B67" s="15" t="n"/>
      <c r="C67" s="15" t="n"/>
      <c r="D67" s="15" t="n"/>
      <c r="E67" s="15" t="n"/>
      <c r="F67" s="15" t="n"/>
      <c r="G67" s="15" t="n"/>
      <c r="H67" s="15" t="n"/>
    </row>
    <row r="68" ht="6" customHeight="1"/>
    <row r="69" ht="22" customHeight="1">
      <c r="A69" s="7" t="inlineStr">
        <is>
          <t xml:space="preserve">  ✍️  SECTION 15 — TAB REPORT CERTIFICATION &amp; SIGNATURES</t>
        </is>
      </c>
      <c r="B69" s="8" t="n"/>
      <c r="C69" s="8" t="n"/>
      <c r="D69" s="8" t="n"/>
      <c r="E69" s="8" t="n"/>
      <c r="F69" s="8" t="n"/>
      <c r="G69" s="8" t="n"/>
      <c r="H69" s="8" t="n"/>
    </row>
    <row r="70" ht="50" customHeight="1">
      <c r="A70" s="37" t="inlineStr">
        <is>
          <t>CERTIFICATION STATEMENT:  The undersigned TAB Technician of Record certifies that the tests, adjustments, and balancing data contained in this report were performed in accordance with the project specifications and the procedural standards of NEBB (National Environmental Balancing Bureau) / AABC (Associated Air Balance Council) as applicable.  All instrumentation used was within current calibration, as documented in Section 14 of this report.  Data represents the system performance at the time of test under the conditions documented herein.</t>
        </is>
      </c>
    </row>
    <row r="71" ht="6" customHeight="1"/>
    <row r="72" ht="18" customHeight="1">
      <c r="A72" s="20" t="inlineStr">
        <is>
          <t>TAB Technician of Record:</t>
        </is>
      </c>
      <c r="E72" s="38" t="n"/>
    </row>
    <row r="73" ht="18" customHeight="1">
      <c r="A73" s="11" t="inlineStr">
        <is>
          <t>NEBB Cert # / License #:</t>
        </is>
      </c>
      <c r="E73" s="38" t="n"/>
    </row>
    <row r="74" ht="18" customHeight="1">
      <c r="A74" s="20" t="inlineStr">
        <is>
          <t>TAB Technician Signature:</t>
        </is>
      </c>
      <c r="E74" s="38" t="n"/>
    </row>
    <row r="75" ht="18" customHeight="1">
      <c r="A75" s="11" t="inlineStr">
        <is>
          <t>Date Signed:</t>
        </is>
      </c>
      <c r="E75" s="38" t="n"/>
    </row>
    <row r="76" ht="18" customHeight="1">
      <c r="A76" s="20" t="inlineStr">
        <is>
          <t>TAB Firm / Company Name:</t>
        </is>
      </c>
      <c r="E76" s="38" t="n"/>
    </row>
    <row r="77" ht="18" customHeight="1">
      <c r="A77" s="11" t="inlineStr">
        <is>
          <t>TAB Firm Certification #:</t>
        </is>
      </c>
      <c r="E77" s="38" t="n"/>
    </row>
    <row r="78" ht="18" customHeight="1">
      <c r="A78" s="20" t="inlineStr">
        <is>
          <t>TAB Firm Authorized Rep:</t>
        </is>
      </c>
      <c r="E78" s="38" t="n"/>
    </row>
    <row r="79" ht="18" customHeight="1">
      <c r="A79" s="11" t="inlineStr">
        <is>
          <t>Authorized Rep Signature / Date:</t>
        </is>
      </c>
      <c r="E79" s="38" t="n"/>
    </row>
    <row r="80" ht="18" customHeight="1">
      <c r="A80" s="20" t="inlineStr">
        <is>
          <t>Mechanical Engineer of Record:</t>
        </is>
      </c>
      <c r="E80" s="38" t="n"/>
    </row>
    <row r="81" ht="18" customHeight="1">
      <c r="A81" s="11" t="inlineStr">
        <is>
          <t>EOR Review Signature / Date:</t>
        </is>
      </c>
      <c r="E81" s="38" t="n"/>
    </row>
    <row r="82" ht="18" customHeight="1">
      <c r="A82" s="20" t="inlineStr">
        <is>
          <t>Owner / Facilities Representative:</t>
        </is>
      </c>
      <c r="E82" s="38" t="n"/>
    </row>
    <row r="83" ht="18" customHeight="1">
      <c r="A83" s="11" t="inlineStr">
        <is>
          <t>Owner Acceptance Signature / Date:</t>
        </is>
      </c>
      <c r="E83" s="38" t="n"/>
    </row>
    <row r="84" ht="18" customHeight="1">
      <c r="A84" s="20" t="inlineStr">
        <is>
          <t>Commissioning Authority (CxA):</t>
        </is>
      </c>
      <c r="E84" s="38" t="n"/>
    </row>
    <row r="85" ht="18" customHeight="1">
      <c r="A85" s="11" t="inlineStr">
        <is>
          <t>CxA Review Signature / Date:</t>
        </is>
      </c>
      <c r="E85" s="38" t="n"/>
    </row>
    <row r="86" ht="22" customHeight="1">
      <c r="A86" s="39" t="inlineStr">
        <is>
          <t>TAB REPORT FINAL STATUS:</t>
        </is>
      </c>
      <c r="E86" s="9" t="inlineStr">
        <is>
          <t>☐ FINAL — ACCEPTED     ☐ FINAL — ACCEPTED WITH COMMENTS     ☐ DRAFT — FOR REVIEW     ☐ RETEST REQUIRED</t>
        </is>
      </c>
    </row>
    <row r="87" ht="6" customHeight="1"/>
    <row r="88" ht="6" customHeight="1">
      <c r="A88" s="3" t="n"/>
    </row>
    <row r="89" ht="18" customHeight="1">
      <c r="A89" s="22" t="inlineStr">
        <is>
          <t>Your HVAC Co.  •  HVAC Test &amp; Balance Report  •  Rogers, AR  •  (555) 867-5309  •  www.yourhvac.com  •  NEBB / AABC Certified</t>
        </is>
      </c>
    </row>
  </sheetData>
  <mergeCells count="41">
    <mergeCell ref="A51:H51"/>
    <mergeCell ref="A72:D72"/>
    <mergeCell ref="E85:H85"/>
    <mergeCell ref="A1:E1"/>
    <mergeCell ref="E76:H76"/>
    <mergeCell ref="E72:H72"/>
    <mergeCell ref="A81:D81"/>
    <mergeCell ref="E81:H81"/>
    <mergeCell ref="E75:H75"/>
    <mergeCell ref="A88:H88"/>
    <mergeCell ref="A70:H70"/>
    <mergeCell ref="A69:H69"/>
    <mergeCell ref="A77:D77"/>
    <mergeCell ref="A83:D83"/>
    <mergeCell ref="A82:D82"/>
    <mergeCell ref="A73:D73"/>
    <mergeCell ref="A89:H89"/>
    <mergeCell ref="A3:H3"/>
    <mergeCell ref="A79:D79"/>
    <mergeCell ref="E83:H83"/>
    <mergeCell ref="E79:H79"/>
    <mergeCell ref="A2:H2"/>
    <mergeCell ref="F1:H1"/>
    <mergeCell ref="E73:H73"/>
    <mergeCell ref="A78:D78"/>
    <mergeCell ref="E82:H82"/>
    <mergeCell ref="A33:H33"/>
    <mergeCell ref="A5:H5"/>
    <mergeCell ref="A84:D84"/>
    <mergeCell ref="A80:D80"/>
    <mergeCell ref="A75:D75"/>
    <mergeCell ref="E84:H84"/>
    <mergeCell ref="E78:H78"/>
    <mergeCell ref="E80:H80"/>
    <mergeCell ref="A74:D74"/>
    <mergeCell ref="E74:H74"/>
    <mergeCell ref="A86:D86"/>
    <mergeCell ref="E86:H86"/>
    <mergeCell ref="E77:H77"/>
    <mergeCell ref="A85:D85"/>
    <mergeCell ref="A76:D76"/>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2026-03-20T18:19:18Z</dcterms:created>
  <dcterms:modified xmlns:dcterms="http://purl.org/dc/terms/" xmlns:xsi="http://www.w3.org/2001/XMLSchema-instance" xsi:type="dcterms:W3CDTF">2026-03-20T18:19:19Z</dcterms:modified>
</cp:coreProperties>
</file>