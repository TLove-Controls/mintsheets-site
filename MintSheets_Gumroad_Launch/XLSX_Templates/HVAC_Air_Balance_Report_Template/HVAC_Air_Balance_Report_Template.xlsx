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8" showHorizontalScroll="1" showVerticalScroll="1"/>
  </bookViews>
  <sheets>
    <sheet name="Cover" sheetId="1" state="visible" r:id="rId1"/>
    <sheet name="Supply Air Balance" sheetId="2" state="visible" r:id="rId2"/>
    <sheet name="Return &amp; Exhaust Air" sheetId="3" state="visible" r:id="rId3"/>
    <sheet name="AHU-RTU Performance" sheetId="4" state="visible" r:id="rId4"/>
    <sheet name="Static Pressure Traverse" sheetId="5" state="visible" r:id="rId5"/>
    <sheet name="Hydronic Balance" sheetId="6" state="visible" r:id="rId6"/>
    <sheet name="Commissioning Checklist" sheetId="7" state="visible" r:id="rId7"/>
    <sheet name="Deficiency Log" sheetId="8" state="visible" r:id="rId8"/>
    <sheet name="Summary &amp; Sign-Off" sheetId="9" state="visible" r:id="rId9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<sst xmlns="http://schemas.openxmlformats.org/spreadsheetml/2006/main" count="321" uniqueCount="321">
  <si>
    <t xml:space="preserve">Your HVAC Co.</t>
  </si>
  <si>
    <t xml:space="preserve">HVAC Air Balance Report</t>
  </si>
  <si>
    <t xml:space="preserve">AIR BALANCE REPORT</t>
  </si>
  <si>
    <t xml:space="preserve">  📋  REPORT INFORMATION</t>
  </si>
  <si>
    <t xml:space="preserve">Project Name:</t>
  </si>
  <si>
    <t xml:space="preserve">Report Number:</t>
  </si>
  <si>
    <t xml:space="preserve">Project Address:</t>
  </si>
  <si>
    <t xml:space="preserve">Report Date:</t>
  </si>
  <si>
    <t xml:space="preserve">Building Type:</t>
  </si>
  <si>
    <t xml:space="preserve">Report Revision #:</t>
  </si>
  <si>
    <t xml:space="preserve">Owner / Client:</t>
  </si>
  <si>
    <t xml:space="preserve">Prepared By:</t>
  </si>
  <si>
    <t xml:space="preserve">Owner Contact:</t>
  </si>
  <si>
    <t xml:space="preserve">Technician License #:</t>
  </si>
  <si>
    <t xml:space="preserve">Owner Phone / Email:</t>
  </si>
  <si>
    <t>Company:</t>
  </si>
  <si>
    <t xml:space="preserve">  ⚙️  SYSTEM INFORMATION</t>
  </si>
  <si>
    <t xml:space="preserve">System Name / Tag:</t>
  </si>
  <si>
    <t xml:space="preserve">AHU / RTU Tag:</t>
  </si>
  <si>
    <t xml:space="preserve">System Type:</t>
  </si>
  <si>
    <t xml:space="preserve">Refrigerant Type:</t>
  </si>
  <si>
    <t xml:space="preserve">Equipment Manufacturer:</t>
  </si>
  <si>
    <t xml:space="preserve">Nominal Cooling Capacity (Tons):</t>
  </si>
  <si>
    <t xml:space="preserve">Equipment Model #:</t>
  </si>
  <si>
    <t xml:space="preserve">Nominal Heating Capacity (BTU/hr):</t>
  </si>
  <si>
    <t xml:space="preserve">Equipment Serial #:</t>
  </si>
  <si>
    <t xml:space="preserve">Drive Type (Belt/Direct):</t>
  </si>
  <si>
    <t xml:space="preserve">Design CFM (Supply):</t>
  </si>
  <si>
    <t xml:space="preserve">Motor HP:</t>
  </si>
  <si>
    <t xml:space="preserve">Design CFM (Return):</t>
  </si>
  <si>
    <t xml:space="preserve">Fan RPM (Design):</t>
  </si>
  <si>
    <t xml:space="preserve">Design CFM (Exhaust):</t>
  </si>
  <si>
    <t xml:space="preserve">Number of Zones:</t>
  </si>
  <si>
    <t xml:space="preserve">  🌡️  TEST CONDITIONS</t>
  </si>
  <si>
    <t xml:space="preserve">Test Date:</t>
  </si>
  <si>
    <t xml:space="preserve">Weather Conditions:</t>
  </si>
  <si>
    <t xml:space="preserve">Test Start Time:</t>
  </si>
  <si>
    <t xml:space="preserve">Indoor Temp (°F):</t>
  </si>
  <si>
    <t xml:space="preserve">Test End Time:</t>
  </si>
  <si>
    <t xml:space="preserve">Indoor RH (%):</t>
  </si>
  <si>
    <t xml:space="preserve">Outdoor Temp (°F):</t>
  </si>
  <si>
    <t xml:space="preserve">Barometric Pressure (in. Hg):</t>
  </si>
  <si>
    <t xml:space="preserve">Outdoor RH (%):</t>
  </si>
  <si>
    <t xml:space="preserve">Building Pressurization Status:</t>
  </si>
  <si>
    <t xml:space="preserve">  ✅  CERTIFICATION &amp; SIGN-OFF</t>
  </si>
  <si>
    <t xml:space="preserve">Certified Test &amp; Balance Technician:</t>
  </si>
  <si>
    <t>Signature:</t>
  </si>
  <si>
    <t xml:space="preserve">NEBB / AABC Certification #:</t>
  </si>
  <si>
    <t>Date:</t>
  </si>
  <si>
    <t xml:space="preserve">Engineer of Record:</t>
  </si>
  <si>
    <t xml:space="preserve">Stamp / Seal:</t>
  </si>
  <si>
    <t xml:space="preserve">Owner / Owner's Rep Acceptance:</t>
  </si>
  <si>
    <t xml:space="preserve">Your HVAC Co.  •  Rogers, AR  •  (479) 555-0100  •  www.yourhvacco.com</t>
  </si>
  <si>
    <t xml:space="preserve">  💨  SUPPLY AIR TERMINAL MEASUREMENTS</t>
  </si>
  <si>
    <t xml:space="preserve">Outlet / Grille ID</t>
  </si>
  <si>
    <t xml:space="preserve">Location / Zone</t>
  </si>
  <si>
    <t xml:space="preserve">Outlet Type</t>
  </si>
  <si>
    <t xml:space="preserve">Design CFM</t>
  </si>
  <si>
    <t xml:space="preserve">Measured CFM</t>
  </si>
  <si>
    <t xml:space="preserve">% of Design</t>
  </si>
  <si>
    <t xml:space="preserve">Velocity (FPM)</t>
  </si>
  <si>
    <t xml:space="preserve">Outlet Size</t>
  </si>
  <si>
    <t xml:space="preserve">Neck Size</t>
  </si>
  <si>
    <t xml:space="preserve">Ak Factor</t>
  </si>
  <si>
    <t>Status</t>
  </si>
  <si>
    <t>Notes</t>
  </si>
  <si>
    <t>SA-01</t>
  </si>
  <si>
    <t>Diffuser</t>
  </si>
  <si>
    <t>SA-02</t>
  </si>
  <si>
    <t>SA-03</t>
  </si>
  <si>
    <t>SA-04</t>
  </si>
  <si>
    <t>SA-05</t>
  </si>
  <si>
    <t>SA-06</t>
  </si>
  <si>
    <t>SA-07</t>
  </si>
  <si>
    <t>SA-08</t>
  </si>
  <si>
    <t>SA-09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</si>
  <si>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</si>
  <si>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</si>
  <si>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</si>
  <si>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</si>
  <si>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</si>
  <si>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</si>
  <si>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</si>
  <si>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</si>
  <si>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</si>
  <si>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</si>
  <si>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</si>
  <si>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 xml:space="preserve">SYSTEM TOTALS</t>
  </si>
  <si>
    <t xml:space="preserve">  📊  SYSTEM SUMMARY</t>
  </si>
  <si>
    <t xml:space="preserve">Total Design CFM (Supply):</t>
  </si>
  <si>
    <t xml:space="preserve">Total Measured CFM (Supply):</t>
  </si>
  <si>
    <t xml:space="preserve">System % of Design:</t>
  </si>
  <si>
    <t xml:space="preserve">Balance Tolerance (±10%):</t>
  </si>
  <si>
    <t>±10%</t>
  </si>
  <si>
    <t xml:space="preserve">Number of Outlets:</t>
  </si>
  <si>
    <t xml:space="preserve">System Status:</t>
  </si>
  <si>
    <t xml:space="preserve">  🔄  RETURN AIR TERMINAL MEASUREMENTS</t>
  </si>
  <si>
    <t xml:space="preserve">Grille / Register ID</t>
  </si>
  <si>
    <t xml:space="preserve">Grille Type</t>
  </si>
  <si>
    <t xml:space="preserve">Grille Size</t>
  </si>
  <si>
    <t>RA-01</t>
  </si>
  <si>
    <t>RA-02</t>
  </si>
  <si>
    <t>RA-03</t>
  </si>
  <si>
    <t>RA-04</t>
  </si>
  <si>
    <t>RA-05</t>
  </si>
  <si>
    <t>RA-06</t>
  </si>
  <si>
    <t>RA-07</t>
  </si>
  <si>
    <t>RA-08</t>
  </si>
  <si>
    <t>RA-09</t>
  </si>
  <si>
    <t>RA-10</t>
  </si>
  <si>
    <t>RA-11</t>
  </si>
  <si>
    <t>RA-12</t>
  </si>
  <si>
    <t xml:space="preserve">RETURN TOTALS</t>
  </si>
  <si>
    <t xml:space="preserve">  💨  EXHAUST AIR TERMINAL MEASUREMENTS</t>
  </si>
  <si>
    <t xml:space="preserve">Fan / Grille ID</t>
  </si>
  <si>
    <t xml:space="preserve">Fan Type</t>
  </si>
  <si>
    <t xml:space="preserve">SP (in. wg)</t>
  </si>
  <si>
    <t xml:space="preserve">Motor HP</t>
  </si>
  <si>
    <t xml:space="preserve">Fan RPM</t>
  </si>
  <si>
    <t xml:space="preserve">Amp Draw</t>
  </si>
  <si>
    <t>EX-01</t>
  </si>
  <si>
    <t>EX-02</t>
  </si>
  <si>
    <t>EX-03</t>
  </si>
  <si>
    <t>EX-04</t>
  </si>
  <si>
    <t>EX-05</t>
  </si>
  <si>
    <t>EX-06</t>
  </si>
  <si>
    <t>EX-07</t>
  </si>
  <si>
    <t>EX-08</t>
  </si>
  <si>
    <t xml:space="preserve">EXHAUST TOTALS</t>
  </si>
  <si>
    <t xml:space="preserve">  🏭  AIR HANDLING UNIT / RTU PERFORMANCE DATA</t>
  </si>
  <si>
    <t>Parameter</t>
  </si>
  <si>
    <t xml:space="preserve">Design / Spec</t>
  </si>
  <si>
    <t xml:space="preserve">Measured Value</t>
  </si>
  <si>
    <t>Unit</t>
  </si>
  <si>
    <t>Tolerance</t>
  </si>
  <si>
    <t xml:space="preserve">Total Supply CFM</t>
  </si>
  <si>
    <t>CFM</t>
  </si>
  <si>
    <t xml:space="preserve">Total Return CFM</t>
  </si>
  <si>
    <t xml:space="preserve">Outside Air CFM</t>
  </si>
  <si>
    <t xml:space="preserve">Supply Static Pressure (External)</t>
  </si>
  <si>
    <t xml:space="preserve">in. wg</t>
  </si>
  <si>
    <t>±0.1</t>
  </si>
  <si>
    <t xml:space="preserve">Return Static Pressure</t>
  </si>
  <si>
    <t xml:space="preserve">Total External Static Pressure</t>
  </si>
  <si>
    <t xml:space="preserve">Fan RPM (Design)</t>
  </si>
  <si>
    <t>RPM</t>
  </si>
  <si>
    <t>±5%</t>
  </si>
  <si>
    <t xml:space="preserve">Fan RPM (Measured)</t>
  </si>
  <si>
    <t xml:space="preserve">Motor Full Load Amps (FLA)</t>
  </si>
  <si>
    <t>Amps</t>
  </si>
  <si>
    <t xml:space="preserve">Motor Measured Amps</t>
  </si>
  <si>
    <t>&lt;FLA</t>
  </si>
  <si>
    <t xml:space="preserve">Supply Fan Motor HP</t>
  </si>
  <si>
    <t>HP</t>
  </si>
  <si>
    <t xml:space="preserve">Drive Belt Size / Sheave</t>
  </si>
  <si>
    <t xml:space="preserve">Entering Air Temp (Dry Bulb)</t>
  </si>
  <si>
    <t>°F</t>
  </si>
  <si>
    <t xml:space="preserve">Leaving Air Temp (Dry Bulb)</t>
  </si>
  <si>
    <t xml:space="preserve">Entering Air Temp (Wet Bulb)</t>
  </si>
  <si>
    <t xml:space="preserve">Leaving Air Temp (Wet Bulb)</t>
  </si>
  <si>
    <t xml:space="preserve">Entering Coil SP Drop</t>
  </si>
  <si>
    <t xml:space="preserve">Filter Static Pressure Drop</t>
  </si>
  <si>
    <t xml:space="preserve">See Design</t>
  </si>
  <si>
    <t xml:space="preserve">Filter Type / MERV Rating</t>
  </si>
  <si>
    <t xml:space="preserve">Economizer Damper Position (%)</t>
  </si>
  <si>
    <t>%</t>
  </si>
  <si>
    <t xml:space="preserve">OSA Damper Position (%)</t>
  </si>
  <si>
    <t xml:space="preserve">Mixed Air Temperature</t>
  </si>
  <si>
    <t xml:space="preserve">  ❄️  COIL PERFORMANCE</t>
  </si>
  <si>
    <t xml:space="preserve">Coil Parameter</t>
  </si>
  <si>
    <t>Design</t>
  </si>
  <si>
    <t>Measured</t>
  </si>
  <si>
    <t>Variance</t>
  </si>
  <si>
    <t xml:space="preserve">Cooling Coil — EAT (DB)</t>
  </si>
  <si>
    <t xml:space="preserve">Cooling Coil — LAT (DB)</t>
  </si>
  <si>
    <t xml:space="preserve">Cooling Coil — EAT (WB)</t>
  </si>
  <si>
    <t xml:space="preserve">Cooling Coil — LAT (WB)</t>
  </si>
  <si>
    <t xml:space="preserve">Cooling Coil — EWT</t>
  </si>
  <si>
    <t xml:space="preserve">Cooling Coil — LWT</t>
  </si>
  <si>
    <t xml:space="preserve">Heating Coil — EAT</t>
  </si>
  <si>
    <t xml:space="preserve">Heating Coil — LAT</t>
  </si>
  <si>
    <t xml:space="preserve">Heating Coil — EWT</t>
  </si>
  <si>
    <t xml:space="preserve">Heating Coil — LWT</t>
  </si>
  <si>
    <t xml:space="preserve">  📐  DUCT STATIC PRESSURE &amp; VELOCITY TRAVERSE</t>
  </si>
  <si>
    <t xml:space="preserve">Duct / Location ID</t>
  </si>
  <si>
    <t xml:space="preserve">Duct Size (in.)</t>
  </si>
  <si>
    <t xml:space="preserve">Duct Area (ft²)</t>
  </si>
  <si>
    <t xml:space="preserve">Design Vel. (FPM)</t>
  </si>
  <si>
    <t xml:space="preserve">Meas. Vel. (FPM)</t>
  </si>
  <si>
    <t xml:space="preserve">Meas. CFM</t>
  </si>
  <si>
    <t xml:space="preserve">SP+ (in. wg)</t>
  </si>
  <si>
    <t xml:space="preserve">SP- (in. wg)</t>
  </si>
  <si>
    <t xml:space="preserve">TP (in. wg)</t>
  </si>
  <si>
    <t>DUCT-01</t>
  </si>
  <si>
    <t>DUCT-02</t>
  </si>
  <si>
    <t>DUCT-03</t>
  </si>
  <si>
    <t>DUCT-04</t>
  </si>
  <si>
    <t>DUCT-05</t>
  </si>
  <si>
    <t>DUCT-06</t>
  </si>
  <si>
    <t>DUCT-07</t>
  </si>
  <si>
    <t>DUCT-08</t>
  </si>
  <si>
    <t>DUCT-09</t>
  </si>
  <si>
    <t>DUCT-10</t>
  </si>
  <si>
    <t>DUCT-11</t>
  </si>
  <si>
    <t>DUCT-12</t>
  </si>
  <si>
    <t>DUCT-13</t>
  </si>
  <si>
    <t>DUCT-14</t>
  </si>
  <si>
    <t>DUCT-15</t>
  </si>
  <si>
    <t xml:space="preserve">  💧  HYDRONIC SYSTEM BALANCE — FLOW MEASUREMENTS</t>
  </si>
  <si>
    <t xml:space="preserve">Coil / Terminal ID</t>
  </si>
  <si>
    <t xml:space="preserve">Design GPM</t>
  </si>
  <si>
    <t xml:space="preserve">Meas. GPM</t>
  </si>
  <si>
    <t xml:space="preserve">EWT (°F)</t>
  </si>
  <si>
    <t xml:space="preserve">LWT (°F)</t>
  </si>
  <si>
    <t xml:space="preserve">∆T (°F)</t>
  </si>
  <si>
    <t xml:space="preserve">Design ∆P (ft)</t>
  </si>
  <si>
    <t xml:space="preserve">Meas. ∆P (ft)</t>
  </si>
  <si>
    <t>HYD-01</t>
  </si>
  <si>
    <t>HYD-02</t>
  </si>
  <si>
    <t>HYD-03</t>
  </si>
  <si>
    <t>HYD-04</t>
  </si>
  <si>
    <t>HYD-05</t>
  </si>
  <si>
    <t>HYD-06</t>
  </si>
  <si>
    <t>HYD-07</t>
  </si>
  <si>
    <t>HYD-08</t>
  </si>
  <si>
    <t>HYD-09</t>
  </si>
  <si>
    <t>HYD-10</t>
  </si>
  <si>
    <t>HYD-11</t>
  </si>
  <si>
    <t>HYD-12</t>
  </si>
  <si>
    <t>HYD-13</t>
  </si>
  <si>
    <t>HYD-14</t>
  </si>
  <si>
    <t>HYD-15</t>
  </si>
  <si>
    <t>HYD-16</t>
  </si>
  <si>
    <t xml:space="preserve">  ☑️  PRE-TEST &amp; COMMISSIONING CHECKLIST</t>
  </si>
  <si>
    <t xml:space="preserve">Checklist Item</t>
  </si>
  <si>
    <t>Pass</t>
  </si>
  <si>
    <t>Fail</t>
  </si>
  <si>
    <t>N/A</t>
  </si>
  <si>
    <t xml:space="preserve">Notes / Corrective Action</t>
  </si>
  <si>
    <t xml:space="preserve">  ▶  PRE-START CHECKS</t>
  </si>
  <si>
    <t xml:space="preserve">   All ductwork installed and sealed per design drawings</t>
  </si>
  <si>
    <t>☐</t>
  </si>
  <si>
    <t xml:space="preserve">   All grilles, registers, and diffusers installed and unobstructed</t>
  </si>
  <si>
    <t xml:space="preserve">   Filters installed (correct MERV rating and direction)</t>
  </si>
  <si>
    <t xml:space="preserve">   Drive belts tensioned and properly aligned</t>
  </si>
  <si>
    <t xml:space="preserve">   Sheave sizes verified per design</t>
  </si>
  <si>
    <t xml:space="preserve">   Motor rotation verified (supply, return, exhaust)</t>
  </si>
  <si>
    <t xml:space="preserve">   All access panels closed and sealed</t>
  </si>
  <si>
    <t xml:space="preserve">   Vibration isolators installed and springs floating</t>
  </si>
  <si>
    <t xml:space="preserve">   All dampers operate through full range of motion</t>
  </si>
  <si>
    <t xml:space="preserve">   VFD programmed and verified (if applicable)</t>
  </si>
  <si>
    <t xml:space="preserve">   Smoke/fire dampers verified open and fusible links intact</t>
  </si>
  <si>
    <t xml:space="preserve">   Balancing dampers set to full-open position</t>
  </si>
  <si>
    <t xml:space="preserve">  ▶  ELECTRICAL CHECKS</t>
  </si>
  <si>
    <t xml:space="preserve">   All electrical connections secure and properly terminated</t>
  </si>
  <si>
    <t xml:space="preserve">   Motor overloads sized and set correctly</t>
  </si>
  <si>
    <t xml:space="preserve">   Phase voltage and balance verified (&lt;2% unbalance)</t>
  </si>
  <si>
    <t xml:space="preserve">   Ground fault protection verified</t>
  </si>
  <si>
    <t xml:space="preserve">   Control wiring verified per sequence of operations</t>
  </si>
  <si>
    <t xml:space="preserve">   BAS/DDC points mapped and calibrated</t>
  </si>
  <si>
    <t xml:space="preserve">  ▶  MECHANICAL CHECKS</t>
  </si>
  <si>
    <t xml:space="preserve">   Coil connections pressure-tested and leak-free</t>
  </si>
  <si>
    <t xml:space="preserve">   Condensate drain trap primed and functional</t>
  </si>
  <si>
    <t xml:space="preserve">   Refrigerant charge verified (if DX system)</t>
  </si>
  <si>
    <t xml:space="preserve">   Hydronic system filled, vented, and purged</t>
  </si>
  <si>
    <t xml:space="preserve">   All valves tagged and in correct position</t>
  </si>
  <si>
    <t xml:space="preserve">   Flexible connections installed (supply and return)</t>
  </si>
  <si>
    <t xml:space="preserve">   Pipe insulation complete and vapor barrier intact</t>
  </si>
  <si>
    <t xml:space="preserve">  ▶  POST-TEST VERIFICATION</t>
  </si>
  <si>
    <t xml:space="preserve">   All outlets within ±10% of design CFM</t>
  </si>
  <si>
    <t xml:space="preserve">   Total supply CFM within ±10% of design</t>
  </si>
  <si>
    <t xml:space="preserve">   Total return CFM within ±10% of design</t>
  </si>
  <si>
    <t xml:space="preserve">   Outdoor air CFM meets minimum ventilation requirements</t>
  </si>
  <si>
    <t xml:space="preserve">   Building pressurization verified positive (if required)</t>
  </si>
  <si>
    <t xml:space="preserve">   Final readings recorded on all data sheets</t>
  </si>
  <si>
    <t xml:space="preserve">   All test instruments calibrated within 12 months</t>
  </si>
  <si>
    <t xml:space="preserve">   As-found and as-left settings documented</t>
  </si>
  <si>
    <t xml:space="preserve">   Owner/engineer notified of any deficiencies</t>
  </si>
  <si>
    <t xml:space="preserve">   Final report prepared and submitted</t>
  </si>
  <si>
    <t xml:space="preserve">  ⚠️  DEFICIENCY LOG &amp; CORRECTIVE ACTION TRACKING</t>
  </si>
  <si>
    <t>#</t>
  </si>
  <si>
    <t xml:space="preserve">Location / System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</si>
  <si>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</si>
  <si>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</si>
  <si>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</si>
  <si>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</si>
  <si>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</si>
  <si>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</si>
  <si>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</si>
  <si>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</si>
  <si>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</si>
  <si>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Critical Items:</t>
  </si>
  <si>
    <t xml:space="preserve">AIR BALANCE REPORT — FINAL SUMMARY</t>
  </si>
  <si>
    <t xml:space="preserve">  📊  SYSTEM BALANCE RESULTS SUMMARY</t>
  </si>
  <si>
    <t>System</t>
  </si>
  <si>
    <t xml:space="preserve"># Outlets</t>
  </si>
  <si>
    <t xml:space="preserve">Balance Status</t>
  </si>
  <si>
    <t xml:space="preserve">Supply Air System</t>
  </si>
  <si>
    <t xml:space="preserve">Return Air System</t>
  </si>
  <si>
    <t xml:space="preserve">Exhaust System</t>
  </si>
  <si>
    <t xml:space="preserve">Outdoor Air</t>
  </si>
  <si>
    <t xml:space="preserve">Transfer Air (if applicable)</t>
  </si>
  <si>
    <t xml:space="preserve">  📝  OVERALL TEST FINDINGS &amp; RECOMMENDATIONS</t>
  </si>
  <si>
    <t xml:space="preserve">Overall System Balance Status:</t>
  </si>
  <si>
    <t xml:space="preserve">Building Pressurization Result:</t>
  </si>
  <si>
    <t xml:space="preserve">Outdoor Air Verification:</t>
  </si>
  <si>
    <t xml:space="preserve">Deficiencies Noted (Count):</t>
  </si>
  <si>
    <t xml:space="preserve">Rebalancing Required?:</t>
  </si>
  <si>
    <t xml:space="preserve">Recommended Follow-Up Date:</t>
  </si>
  <si>
    <t xml:space="preserve">  🗒️  TECHNICIAN NOTES / NARRATIVE</t>
  </si>
  <si>
    <t xml:space="preserve">  ✍️  APPROVAL &amp; SIGNATURE BLOCK</t>
  </si>
  <si>
    <t xml:space="preserve">Test &amp; Balance Technician:</t>
  </si>
  <si>
    <t xml:space="preserve">Print Name:</t>
  </si>
  <si>
    <t xml:space="preserve">NEBB/AABC Certification #:</t>
  </si>
  <si>
    <t xml:space="preserve">Expiration Date:</t>
  </si>
  <si>
    <t>Phone:</t>
  </si>
  <si>
    <t xml:space="preserve">License #:</t>
  </si>
  <si>
    <t xml:space="preserve">Signature / Seal:</t>
  </si>
  <si>
    <t xml:space="preserve">Owner Representative:</t>
  </si>
  <si>
    <t>Title:</t>
  </si>
  <si>
    <t xml:space="preserve">Date Accepted: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</si>
</sst>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>
    <font>
      <sz val="11.000000"/>
      <color theme="1"/>
      <name val="Calibri"/>
    </font>
    <font>
      <sz val="10.000000"/>
      <name val="Arial"/>
    </font>
    <font>
      <b/>
      <sz val="14.000000"/>
      <color indexed="65"/>
      <name val="Arial"/>
    </font>
    <font>
      <b/>
      <sz val="12.000000"/>
      <color indexed="65"/>
      <name val="Arial"/>
    </font>
    <font>
      <b/>
      <sz val="20.000000"/>
      <color rgb="FF1B3A6B"/>
      <name val="Arial"/>
    </font>
    <font>
      <b/>
      <sz val="11.000000"/>
      <color indexed="65"/>
      <name val="Arial"/>
    </font>
    <font>
      <b/>
      <sz val="9.000000"/>
      <color rgb="FF1B3A6B"/>
      <name val="Arial"/>
    </font>
    <font>
      <sz val="9.000000"/>
      <color indexed="4"/>
      <name val="Arial"/>
    </font>
    <font>
      <i/>
      <sz val="8.000000"/>
      <color rgb="FF555555"/>
      <name val="Arial"/>
    </font>
    <font>
      <b/>
      <sz val="9.000000"/>
      <color indexed="65"/>
      <name val="Arial"/>
    </font>
    <font>
      <sz val="9.000000"/>
      <name val="Arial"/>
    </font>
    <font>
      <b/>
      <sz val="9.000000"/>
      <name val="Arial"/>
    </font>
    <font>
      <b/>
      <sz val="10.000000"/>
      <color indexed="65"/>
      <name val="Arial"/>
    </font>
    <font>
      <b/>
      <sz val="9.000000"/>
      <color indexed="4"/>
      <name val="Arial"/>
    </font>
    <font>
      <sz val="9.000000"/>
      <color indexed="64"/>
      <name val="Arial"/>
    </font>
    <font>
      <sz val="11.000000"/>
      <name val="Arial"/>
    </font>
    <font>
      <b/>
      <sz val="16.000000"/>
      <color rgb="FF1B3A6B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  <bgColor indexed="62"/>
      </patternFill>
    </fill>
    <fill>
      <patternFill patternType="solid">
        <fgColor rgb="FFE07B00"/>
        <bgColor indexed="52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4F6F8"/>
      </patternFill>
    </fill>
    <fill>
      <patternFill patternType="solid">
        <fgColor rgb="FFF4F6F8"/>
        <bgColor indexed="65"/>
      </patternFill>
    </fill>
    <fill>
      <patternFill patternType="solid">
        <fgColor rgb="FF2E6DA4"/>
        <bgColor indexed="48"/>
      </patternFill>
    </fill>
    <fill>
      <patternFill patternType="solid">
        <fgColor indexed="65"/>
        <bgColor rgb="FFF4F6F8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thin">
        <color rgb="FFD9D9D9"/>
      </left>
      <right style="none"/>
      <top style="thin">
        <color rgb="FFD9D9D9"/>
      </top>
      <bottom style="thin">
        <color rgb="FFD9D9D9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5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left" vertical="center"/>
      <protection hidden="0" locked="1"/>
    </xf>
    <xf fontId="3" fillId="3" borderId="1" numFmtId="0" xfId="0" applyFont="1" applyFill="1" applyBorder="1" applyAlignment="1" applyProtection="0">
      <alignment horizontal="right" vertical="center"/>
      <protection hidden="0" locked="1"/>
    </xf>
    <xf fontId="4" fillId="4" borderId="2" numFmtId="0" xfId="0" applyFont="1" applyFill="1" applyBorder="1" applyAlignment="1" applyProtection="0">
      <alignment horizontal="center" vertical="center"/>
      <protection hidden="0" locked="1"/>
    </xf>
    <xf fontId="5" fillId="2" borderId="1" numFmtId="0" xfId="0" applyFont="1" applyFill="1" applyBorder="1" applyAlignment="1" applyProtection="0">
      <alignment horizontal="left" vertical="center"/>
      <protection hidden="0" locked="1"/>
    </xf>
    <xf fontId="6" fillId="4" borderId="1" numFmtId="0" xfId="0" applyFont="1" applyFill="1" applyBorder="1" applyAlignment="1" applyProtection="0">
      <alignment horizontal="left" vertical="center"/>
      <protection hidden="0" locked="1"/>
    </xf>
    <xf fontId="7" fillId="5" borderId="1" numFmtId="0" xfId="0" applyFont="1" applyFill="1" applyBorder="1" applyAlignment="1" applyProtection="0">
      <alignment horizontal="left" vertical="center"/>
      <protection hidden="0" locked="1"/>
    </xf>
    <xf fontId="7" fillId="5" borderId="1" numFmtId="0" xfId="0" applyFont="1" applyFill="1" applyBorder="1" applyProtection="0">
      <protection hidden="0" locked="1"/>
    </xf>
    <xf fontId="8" fillId="6" borderId="1" numFmtId="0" xfId="0" applyFont="1" applyFill="1" applyBorder="1" applyAlignment="1" applyProtection="0">
      <alignment horizontal="center" vertical="center"/>
      <protection hidden="0" locked="1"/>
    </xf>
    <xf fontId="0" fillId="3" borderId="1" numFmtId="0" xfId="0" applyFill="1" applyBorder="1" applyProtection="0">
      <protection hidden="0" locked="1"/>
    </xf>
    <xf fontId="0" fillId="2" borderId="1" numFmtId="0" xfId="0" applyFill="1" applyBorder="1" applyProtection="0">
      <protection hidden="0" locked="1"/>
    </xf>
    <xf fontId="9" fillId="7" borderId="1" numFmtId="0" xfId="0" applyFont="1" applyFill="1" applyBorder="1" applyAlignment="1" applyProtection="0">
      <alignment horizontal="center" vertical="center"/>
      <protection hidden="0" locked="1"/>
    </xf>
    <xf fontId="10" fillId="8" borderId="1" numFmtId="0" xfId="0" applyFont="1" applyFill="1" applyBorder="1" applyAlignment="1" applyProtection="0">
      <alignment horizontal="center" vertical="center"/>
      <protection hidden="0" locked="1"/>
    </xf>
    <xf fontId="7" fillId="5" borderId="1" numFmtId="0" xfId="0" applyFont="1" applyFill="1" applyBorder="1" applyAlignment="1" applyProtection="0">
      <alignment horizontal="center" vertical="center"/>
      <protection hidden="0" locked="1"/>
    </xf>
    <xf fontId="10" fillId="8" borderId="1" numFmtId="164" xfId="0" applyNumberFormat="1" applyFont="1" applyFill="1" applyBorder="1" applyAlignment="1" applyProtection="0">
      <alignment horizontal="center" vertical="center"/>
      <protection hidden="0" locked="1"/>
    </xf>
    <xf fontId="11" fillId="8" borderId="1" numFmtId="0" xfId="0" applyFont="1" applyFill="1" applyBorder="1" applyAlignment="1" applyProtection="0">
      <alignment horizontal="center" vertical="center"/>
      <protection hidden="0" locked="1"/>
    </xf>
    <xf fontId="10" fillId="6" borderId="1" numFmtId="0" xfId="0" applyFont="1" applyFill="1" applyBorder="1" applyAlignment="1" applyProtection="0">
      <alignment horizontal="center" vertical="center"/>
      <protection hidden="0" locked="1"/>
    </xf>
    <xf fontId="10" fillId="6" borderId="1" numFmtId="164" xfId="0" applyNumberFormat="1" applyFont="1" applyFill="1" applyBorder="1" applyAlignment="1" applyProtection="0">
      <alignment horizontal="center" vertical="center"/>
      <protection hidden="0" locked="1"/>
    </xf>
    <xf fontId="11" fillId="6" borderId="1" numFmtId="0" xfId="0" applyFont="1" applyFill="1" applyBorder="1" applyAlignment="1" applyProtection="0">
      <alignment horizontal="center" vertical="center"/>
      <protection hidden="0" locked="1"/>
    </xf>
    <xf fontId="12" fillId="2" borderId="1" numFmtId="0" xfId="0" applyFont="1" applyFill="1" applyBorder="1" applyAlignment="1" applyProtection="0">
      <alignment horizontal="center" vertical="center"/>
      <protection hidden="0" locked="1"/>
    </xf>
    <xf fontId="12" fillId="2" borderId="1" numFmtId="164" xfId="0" applyNumberFormat="1" applyFont="1" applyFill="1" applyBorder="1" applyAlignment="1" applyProtection="0">
      <alignment horizontal="center" vertical="center"/>
      <protection hidden="0" locked="1"/>
    </xf>
    <xf fontId="13" fillId="5" borderId="1" numFmtId="0" xfId="0" applyFont="1" applyFill="1" applyBorder="1" applyAlignment="1" applyProtection="0">
      <alignment horizontal="center" vertical="center"/>
      <protection hidden="0" locked="1"/>
    </xf>
    <xf fontId="0" fillId="8" borderId="1" numFmtId="0" xfId="0" applyFill="1" applyBorder="1" applyProtection="0">
      <protection hidden="0" locked="1"/>
    </xf>
    <xf fontId="13" fillId="5" borderId="1" numFmtId="164" xfId="0" applyNumberFormat="1" applyFont="1" applyFill="1" applyBorder="1" applyAlignment="1" applyProtection="0">
      <alignment horizontal="center" vertical="center"/>
      <protection hidden="0" locked="1"/>
    </xf>
    <xf fontId="0" fillId="6" borderId="1" numFmtId="0" xfId="0" applyFill="1" applyBorder="1" applyProtection="0">
      <protection hidden="0" locked="1"/>
    </xf>
    <xf fontId="14" fillId="8" borderId="1" numFmtId="0" xfId="0" applyFont="1" applyFill="1" applyBorder="1" applyAlignment="1" applyProtection="0">
      <alignment horizontal="center" vertical="center"/>
      <protection hidden="0" locked="1"/>
    </xf>
    <xf fontId="14" fillId="6" borderId="1" numFmtId="0" xfId="0" applyFont="1" applyFill="1" applyBorder="1" applyAlignment="1" applyProtection="0">
      <alignment horizontal="center" vertical="center"/>
      <protection hidden="0" locked="1"/>
    </xf>
    <xf fontId="12" fillId="7" borderId="1" numFmtId="0" xfId="0" applyFont="1" applyFill="1" applyBorder="1" applyAlignment="1" applyProtection="0">
      <alignment horizontal="center" vertical="center"/>
      <protection hidden="0" locked="1"/>
    </xf>
    <xf fontId="12" fillId="7" borderId="1" numFmtId="0" xfId="0" applyFont="1" applyFill="1" applyBorder="1" applyAlignment="1" applyProtection="0">
      <alignment horizontal="left" vertical="center"/>
      <protection hidden="0" locked="1"/>
    </xf>
    <xf fontId="10" fillId="8" borderId="1" numFmtId="0" xfId="0" applyFont="1" applyFill="1" applyBorder="1" applyAlignment="1" applyProtection="0">
      <alignment horizontal="left" vertical="center"/>
      <protection hidden="0" locked="1"/>
    </xf>
    <xf fontId="15" fillId="5" borderId="1" numFmtId="0" xfId="0" applyFont="1" applyFill="1" applyBorder="1" applyAlignment="1" applyProtection="0">
      <alignment horizontal="center" vertical="center"/>
      <protection hidden="0" locked="1"/>
    </xf>
    <xf fontId="10" fillId="6" borderId="1" numFmtId="0" xfId="0" applyFont="1" applyFill="1" applyBorder="1" applyAlignment="1" applyProtection="0">
      <alignment horizontal="left" vertical="center"/>
      <protection hidden="0" locked="1"/>
    </xf>
    <xf fontId="7" fillId="5" borderId="1" numFmtId="0" xfId="0" applyFont="1" applyFill="1" applyBorder="1" applyAlignment="1" applyProtection="0">
      <alignment horizontal="left" vertical="center" wrapText="1"/>
      <protection hidden="0" locked="1"/>
    </xf>
    <xf fontId="16" fillId="4" borderId="2" numFmtId="0" xfId="0" applyFont="1" applyFill="1" applyBorder="1" applyAlignment="1" applyProtection="0">
      <alignment horizontal="center" vertical="center"/>
      <protection hidden="0" locked="1"/>
    </xf>
    <xf fontId="7" fillId="5" borderId="2" numFmtId="0" xfId="0" applyFont="1" applyFill="1" applyBorder="1" applyAlignment="1" applyProtection="0">
      <alignment horizontal="left"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22"/>
    <col customWidth="1" min="2" max="12" style="0" width="14"/>
  </cols>
  <sheetData>
    <row r="1" ht="3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</row>
    <row r="2" ht="7.5" customHeight="1"/>
    <row r="3" ht="3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4.5" customHeight="1"/>
    <row r="5" ht="21.75" customHeight="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5" customHeight="1">
      <c r="A6" s="5" t="s">
        <v>4</v>
      </c>
      <c r="B6" s="6"/>
      <c r="C6" s="6"/>
      <c r="D6" s="6"/>
      <c r="E6" s="6"/>
      <c r="F6" s="6"/>
      <c r="G6" s="5" t="s">
        <v>5</v>
      </c>
      <c r="H6" s="6"/>
      <c r="I6" s="6"/>
      <c r="J6" s="6"/>
      <c r="K6" s="6"/>
      <c r="L6" s="6"/>
    </row>
    <row r="7" ht="15" customHeight="1">
      <c r="A7" s="5" t="s">
        <v>6</v>
      </c>
      <c r="B7" s="6"/>
      <c r="C7" s="6"/>
      <c r="D7" s="6"/>
      <c r="E7" s="6"/>
      <c r="F7" s="6"/>
      <c r="G7" s="5" t="s">
        <v>7</v>
      </c>
      <c r="H7" s="6"/>
      <c r="I7" s="6"/>
      <c r="J7" s="6"/>
      <c r="K7" s="6"/>
      <c r="L7" s="6"/>
    </row>
    <row r="8" ht="15" customHeight="1">
      <c r="A8" s="5" t="s">
        <v>8</v>
      </c>
      <c r="B8" s="6"/>
      <c r="C8" s="6"/>
      <c r="D8" s="6"/>
      <c r="E8" s="6"/>
      <c r="F8" s="6"/>
      <c r="G8" s="5" t="s">
        <v>9</v>
      </c>
      <c r="H8" s="6"/>
      <c r="I8" s="6"/>
      <c r="J8" s="6"/>
      <c r="K8" s="6"/>
      <c r="L8" s="6"/>
    </row>
    <row r="9" ht="15" customHeight="1">
      <c r="A9" s="5" t="s">
        <v>10</v>
      </c>
      <c r="B9" s="6"/>
      <c r="C9" s="6"/>
      <c r="D9" s="6"/>
      <c r="E9" s="6"/>
      <c r="F9" s="6"/>
      <c r="G9" s="5" t="s">
        <v>11</v>
      </c>
      <c r="H9" s="6"/>
      <c r="I9" s="6"/>
      <c r="J9" s="6"/>
      <c r="K9" s="6"/>
      <c r="L9" s="6"/>
    </row>
    <row r="10" ht="15" customHeight="1">
      <c r="A10" s="5" t="s">
        <v>12</v>
      </c>
      <c r="B10" s="6"/>
      <c r="C10" s="6"/>
      <c r="D10" s="6"/>
      <c r="E10" s="6"/>
      <c r="F10" s="6"/>
      <c r="G10" s="5" t="s">
        <v>13</v>
      </c>
      <c r="H10" s="6"/>
      <c r="I10" s="6"/>
      <c r="J10" s="6"/>
      <c r="K10" s="6"/>
      <c r="L10" s="6"/>
    </row>
    <row r="11" ht="15" customHeight="1">
      <c r="A11" s="5" t="s">
        <v>14</v>
      </c>
      <c r="B11" s="6"/>
      <c r="C11" s="6"/>
      <c r="D11" s="6"/>
      <c r="E11" s="6"/>
      <c r="F11" s="6"/>
      <c r="G11" s="5" t="s">
        <v>15</v>
      </c>
      <c r="H11" s="6"/>
      <c r="I11" s="6"/>
      <c r="J11" s="6"/>
      <c r="K11" s="6"/>
      <c r="L11" s="6"/>
    </row>
    <row r="12" ht="4.5" customHeight="1"/>
    <row r="13" ht="21.75" customHeight="1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5" customHeight="1">
      <c r="A14" s="5" t="s">
        <v>17</v>
      </c>
      <c r="B14" s="6"/>
      <c r="C14" s="6"/>
      <c r="D14" s="6"/>
      <c r="E14" s="6"/>
      <c r="F14" s="6"/>
      <c r="G14" s="5" t="s">
        <v>18</v>
      </c>
      <c r="H14" s="6"/>
      <c r="I14" s="6"/>
      <c r="J14" s="6"/>
      <c r="K14" s="6"/>
      <c r="L14" s="6"/>
    </row>
    <row r="15" ht="15" customHeight="1">
      <c r="A15" s="5" t="s">
        <v>19</v>
      </c>
      <c r="B15" s="6"/>
      <c r="C15" s="6"/>
      <c r="D15" s="6"/>
      <c r="E15" s="6"/>
      <c r="F15" s="6"/>
      <c r="G15" s="5" t="s">
        <v>20</v>
      </c>
      <c r="H15" s="6"/>
      <c r="I15" s="6"/>
      <c r="J15" s="6"/>
      <c r="K15" s="6"/>
      <c r="L15" s="6"/>
    </row>
    <row r="16" ht="15" customHeight="1">
      <c r="A16" s="5" t="s">
        <v>21</v>
      </c>
      <c r="B16" s="6"/>
      <c r="C16" s="6"/>
      <c r="D16" s="6"/>
      <c r="E16" s="6"/>
      <c r="F16" s="6"/>
      <c r="G16" s="5" t="s">
        <v>22</v>
      </c>
      <c r="H16" s="6"/>
      <c r="I16" s="6"/>
      <c r="J16" s="6"/>
      <c r="K16" s="6"/>
      <c r="L16" s="6"/>
    </row>
    <row r="17" ht="15" customHeight="1">
      <c r="A17" s="5" t="s">
        <v>23</v>
      </c>
      <c r="B17" s="6"/>
      <c r="C17" s="6"/>
      <c r="D17" s="6"/>
      <c r="E17" s="6"/>
      <c r="F17" s="6"/>
      <c r="G17" s="5" t="s">
        <v>24</v>
      </c>
      <c r="H17" s="6"/>
      <c r="I17" s="6"/>
      <c r="J17" s="6"/>
      <c r="K17" s="6"/>
      <c r="L17" s="6"/>
    </row>
    <row r="18" ht="15" customHeight="1">
      <c r="A18" s="5" t="s">
        <v>25</v>
      </c>
      <c r="B18" s="6"/>
      <c r="C18" s="6"/>
      <c r="D18" s="6"/>
      <c r="E18" s="6"/>
      <c r="F18" s="6"/>
      <c r="G18" s="5" t="s">
        <v>26</v>
      </c>
      <c r="H18" s="6"/>
      <c r="I18" s="6"/>
      <c r="J18" s="6"/>
      <c r="K18" s="6"/>
      <c r="L18" s="6"/>
    </row>
    <row r="19" ht="15" customHeight="1">
      <c r="A19" s="5" t="s">
        <v>27</v>
      </c>
      <c r="B19" s="6"/>
      <c r="C19" s="6"/>
      <c r="D19" s="6"/>
      <c r="E19" s="6"/>
      <c r="F19" s="6"/>
      <c r="G19" s="5" t="s">
        <v>28</v>
      </c>
      <c r="H19" s="6"/>
      <c r="I19" s="6"/>
      <c r="J19" s="6"/>
      <c r="K19" s="6"/>
      <c r="L19" s="6"/>
    </row>
    <row r="20" ht="15" customHeight="1">
      <c r="A20" s="5" t="s">
        <v>29</v>
      </c>
      <c r="B20" s="6"/>
      <c r="C20" s="6"/>
      <c r="D20" s="6"/>
      <c r="E20" s="6"/>
      <c r="F20" s="6"/>
      <c r="G20" s="5" t="s">
        <v>30</v>
      </c>
      <c r="H20" s="6"/>
      <c r="I20" s="6"/>
      <c r="J20" s="6"/>
      <c r="K20" s="6"/>
      <c r="L20" s="6"/>
    </row>
    <row r="21" ht="15" customHeight="1">
      <c r="A21" s="5" t="s">
        <v>31</v>
      </c>
      <c r="B21" s="6"/>
      <c r="C21" s="6"/>
      <c r="D21" s="6"/>
      <c r="E21" s="6"/>
      <c r="F21" s="6"/>
      <c r="G21" s="5" t="s">
        <v>32</v>
      </c>
      <c r="H21" s="6"/>
      <c r="I21" s="6"/>
      <c r="J21" s="6"/>
      <c r="K21" s="6"/>
      <c r="L21" s="6"/>
    </row>
    <row r="22" ht="4.5" customHeight="1"/>
    <row r="23" ht="21.75" customHeight="1">
      <c r="A23" s="4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" customHeight="1">
      <c r="A24" s="5" t="s">
        <v>34</v>
      </c>
      <c r="B24" s="6"/>
      <c r="C24" s="6"/>
      <c r="D24" s="6"/>
      <c r="E24" s="6"/>
      <c r="F24" s="6"/>
      <c r="G24" s="5" t="s">
        <v>35</v>
      </c>
      <c r="H24" s="6"/>
      <c r="I24" s="6"/>
      <c r="J24" s="6"/>
      <c r="K24" s="6"/>
      <c r="L24" s="6"/>
    </row>
    <row r="25" ht="15" customHeight="1">
      <c r="A25" s="5" t="s">
        <v>36</v>
      </c>
      <c r="B25" s="6"/>
      <c r="C25" s="6"/>
      <c r="D25" s="6"/>
      <c r="E25" s="6"/>
      <c r="F25" s="6"/>
      <c r="G25" s="5" t="s">
        <v>37</v>
      </c>
      <c r="H25" s="6"/>
      <c r="I25" s="6"/>
      <c r="J25" s="6"/>
      <c r="K25" s="6"/>
      <c r="L25" s="6"/>
    </row>
    <row r="26" ht="15" customHeight="1">
      <c r="A26" s="5" t="s">
        <v>38</v>
      </c>
      <c r="B26" s="6"/>
      <c r="C26" s="6"/>
      <c r="D26" s="6"/>
      <c r="E26" s="6"/>
      <c r="F26" s="6"/>
      <c r="G26" s="5" t="s">
        <v>39</v>
      </c>
      <c r="H26" s="6"/>
      <c r="I26" s="6"/>
      <c r="J26" s="6"/>
      <c r="K26" s="6"/>
      <c r="L26" s="6"/>
    </row>
    <row r="27" ht="15" customHeight="1">
      <c r="A27" s="5" t="s">
        <v>40</v>
      </c>
      <c r="B27" s="6"/>
      <c r="C27" s="6"/>
      <c r="D27" s="6"/>
      <c r="E27" s="6"/>
      <c r="F27" s="6"/>
      <c r="G27" s="5" t="s">
        <v>41</v>
      </c>
      <c r="H27" s="6"/>
      <c r="I27" s="6"/>
      <c r="J27" s="6"/>
      <c r="K27" s="6"/>
      <c r="L27" s="6"/>
    </row>
    <row r="28" ht="15" customHeight="1">
      <c r="A28" s="5" t="s">
        <v>42</v>
      </c>
      <c r="B28" s="6"/>
      <c r="C28" s="6"/>
      <c r="D28" s="6"/>
      <c r="E28" s="6"/>
      <c r="F28" s="6"/>
      <c r="G28" s="5" t="s">
        <v>43</v>
      </c>
      <c r="H28" s="6"/>
      <c r="I28" s="6"/>
      <c r="J28" s="6"/>
      <c r="K28" s="6"/>
      <c r="L28" s="6"/>
    </row>
    <row r="29" ht="4.5" customHeight="1"/>
    <row r="30" ht="21.75" customHeight="1">
      <c r="A30" s="4" t="s">
        <v>44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8" customHeight="1">
      <c r="A31" s="5" t="s">
        <v>45</v>
      </c>
      <c r="B31" s="7"/>
      <c r="C31" s="7"/>
      <c r="D31" s="7"/>
      <c r="E31" s="7"/>
      <c r="F31" s="7"/>
      <c r="G31" s="5" t="s">
        <v>46</v>
      </c>
      <c r="H31" s="7"/>
      <c r="I31" s="7"/>
      <c r="J31" s="7"/>
      <c r="K31" s="7"/>
      <c r="L31" s="7"/>
    </row>
    <row r="32" ht="18" customHeight="1">
      <c r="A32" s="5" t="s">
        <v>47</v>
      </c>
      <c r="B32" s="7"/>
      <c r="C32" s="7"/>
      <c r="D32" s="7"/>
      <c r="E32" s="7"/>
      <c r="F32" s="7"/>
      <c r="G32" s="5" t="s">
        <v>48</v>
      </c>
      <c r="H32" s="7"/>
      <c r="I32" s="7"/>
      <c r="J32" s="7"/>
      <c r="K32" s="7"/>
      <c r="L32" s="7"/>
    </row>
    <row r="33" ht="18" customHeight="1">
      <c r="A33" s="5" t="s">
        <v>49</v>
      </c>
      <c r="B33" s="7"/>
      <c r="C33" s="7"/>
      <c r="D33" s="7"/>
      <c r="E33" s="7"/>
      <c r="F33" s="7"/>
      <c r="G33" s="5" t="s">
        <v>50</v>
      </c>
      <c r="H33" s="7"/>
      <c r="I33" s="7"/>
      <c r="J33" s="7"/>
      <c r="K33" s="7"/>
      <c r="L33" s="7"/>
    </row>
    <row r="34" ht="18" customHeight="1">
      <c r="A34" s="5" t="s">
        <v>51</v>
      </c>
      <c r="B34" s="7"/>
      <c r="C34" s="7"/>
      <c r="D34" s="7"/>
      <c r="E34" s="7"/>
      <c r="F34" s="7"/>
      <c r="G34" s="5" t="s">
        <v>48</v>
      </c>
      <c r="H34" s="7"/>
      <c r="I34" s="7"/>
      <c r="J34" s="7"/>
      <c r="K34" s="7"/>
      <c r="L34" s="7"/>
    </row>
    <row r="35" ht="4.5" customHeight="1"/>
    <row r="36" ht="18" customHeight="1">
      <c r="A36" s="8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mergeCells count="8">
    <mergeCell ref="A1:E1"/>
    <mergeCell ref="F1:L1"/>
    <mergeCell ref="A3:L3"/>
    <mergeCell ref="A5:L5"/>
    <mergeCell ref="A13:L13"/>
    <mergeCell ref="A23:L23"/>
    <mergeCell ref="A30:L30"/>
    <mergeCell ref="A36:L36"/>
  </mergeCells>
  <printOptions headings="0" gridLines="0" horizontalCentered="0" verticalCentered="0"/>
  <pageMargins left="0.5" right="0.5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18"/>
    <col customWidth="1" min="2" max="9" style="0" width="12"/>
    <col customWidth="1" min="10" max="11" style="0" width="10"/>
    <col customWidth="1" min="12" max="12" style="0" width="14"/>
  </cols>
  <sheetData>
    <row r="1" ht="30" customHeight="1">
      <c r="A1" s="1" t="s">
        <v>0</v>
      </c>
      <c r="B1" s="1"/>
      <c r="C1" s="1"/>
      <c r="D1" s="1"/>
      <c r="E1" s="1"/>
      <c r="F1" s="1"/>
      <c r="G1" s="9"/>
      <c r="H1" s="9"/>
      <c r="I1" s="9"/>
      <c r="J1" s="9"/>
      <c r="K1" s="9"/>
      <c r="L1" s="9"/>
    </row>
    <row r="2" ht="21.75" customHeight="1">
      <c r="A2" s="4" t="s">
        <v>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0"/>
    </row>
    <row r="3" ht="18" customHeight="1">
      <c r="A3" s="11" t="s">
        <v>54</v>
      </c>
      <c r="B3" s="11" t="s">
        <v>55</v>
      </c>
      <c r="C3" s="11" t="s">
        <v>56</v>
      </c>
      <c r="D3" s="11" t="s">
        <v>57</v>
      </c>
      <c r="E3" s="11" t="s">
        <v>58</v>
      </c>
      <c r="F3" s="11" t="s">
        <v>59</v>
      </c>
      <c r="G3" s="11" t="s">
        <v>60</v>
      </c>
      <c r="H3" s="11" t="s">
        <v>61</v>
      </c>
      <c r="I3" s="11" t="s">
        <v>62</v>
      </c>
      <c r="J3" s="11" t="s">
        <v>63</v>
      </c>
      <c r="K3" s="11" t="s">
        <v>64</v>
      </c>
      <c r="L3" s="11" t="s">
        <v>65</v>
      </c>
    </row>
    <row r="4" ht="15" customHeight="1">
      <c r="A4" s="12" t="s">
        <v>66</v>
      </c>
      <c r="B4" s="12"/>
      <c r="C4" s="12" t="s">
        <v>67</v>
      </c>
      <c r="D4" s="13"/>
      <c r="E4" s="13"/>
      <c r="F4" s="14" t="str">
        <f t="shared" ref="F4:F9" si="0">IF(D4&gt;0,E4/D4*100,"")</f>
        <v/>
      </c>
      <c r="G4" s="13"/>
      <c r="H4" s="12"/>
      <c r="I4" s="12"/>
      <c r="J4" s="12"/>
      <c r="K4" s="15" t="str">
        <f t="shared" ref="K4:K9" si="1">IF(F4="","",IF(AND(F4&gt;=90,F4&lt;=110),"✓ PASS","✗ FAIL"))</f>
        <v/>
      </c>
      <c r="L4" s="12"/>
    </row>
    <row r="5" ht="15" customHeight="1">
      <c r="A5" s="16" t="s">
        <v>68</v>
      </c>
      <c r="B5" s="16"/>
      <c r="C5" s="16" t="s">
        <v>67</v>
      </c>
      <c r="D5" s="13"/>
      <c r="E5" s="13"/>
      <c r="F5" s="17" t="str">
        <f t="shared" si="0"/>
        <v/>
      </c>
      <c r="G5" s="13"/>
      <c r="H5" s="16"/>
      <c r="I5" s="16"/>
      <c r="J5" s="16"/>
      <c r="K5" s="18" t="str">
        <f t="shared" si="1"/>
        <v/>
      </c>
      <c r="L5" s="16"/>
    </row>
    <row r="6" ht="15" customHeight="1">
      <c r="A6" s="12" t="s">
        <v>69</v>
      </c>
      <c r="B6" s="12"/>
      <c r="C6" s="12" t="s">
        <v>67</v>
      </c>
      <c r="D6" s="13"/>
      <c r="E6" s="13"/>
      <c r="F6" s="14" t="str">
        <f t="shared" si="0"/>
        <v/>
      </c>
      <c r="G6" s="13"/>
      <c r="H6" s="12"/>
      <c r="I6" s="12"/>
      <c r="J6" s="12"/>
      <c r="K6" s="15" t="str">
        <f t="shared" si="1"/>
        <v/>
      </c>
      <c r="L6" s="12"/>
    </row>
    <row r="7" ht="15" customHeight="1">
      <c r="A7" s="16" t="s">
        <v>70</v>
      </c>
      <c r="B7" s="16"/>
      <c r="C7" s="16" t="s">
        <v>67</v>
      </c>
      <c r="D7" s="13"/>
      <c r="E7" s="13"/>
      <c r="F7" s="17" t="str">
        <f t="shared" si="0"/>
        <v/>
      </c>
      <c r="G7" s="13"/>
      <c r="H7" s="16"/>
      <c r="I7" s="16"/>
      <c r="J7" s="16"/>
      <c r="K7" s="18" t="str">
        <f t="shared" si="1"/>
        <v/>
      </c>
      <c r="L7" s="16"/>
    </row>
    <row r="8" ht="15" customHeight="1">
      <c r="A8" s="12" t="s">
        <v>71</v>
      </c>
      <c r="B8" s="12"/>
      <c r="C8" s="12" t="s">
        <v>67</v>
      </c>
      <c r="D8" s="13"/>
      <c r="E8" s="13"/>
      <c r="F8" s="14" t="str">
        <f t="shared" si="0"/>
        <v/>
      </c>
      <c r="G8" s="13"/>
      <c r="H8" s="12"/>
      <c r="I8" s="12"/>
      <c r="J8" s="12"/>
      <c r="K8" s="15" t="str">
        <f t="shared" si="1"/>
        <v/>
      </c>
      <c r="L8" s="12"/>
    </row>
    <row r="9" ht="15" customHeight="1">
      <c r="A9" s="16" t="s">
        <v>72</v>
      </c>
      <c r="B9" s="16"/>
      <c r="C9" s="16" t="s">
        <v>67</v>
      </c>
      <c r="D9" s="13"/>
      <c r="E9" s="13"/>
      <c r="F9" s="17" t="str">
        <f t="shared" si="0"/>
        <v/>
      </c>
      <c r="G9" s="13"/>
      <c r="H9" s="16"/>
      <c r="I9" s="16"/>
      <c r="J9" s="16"/>
      <c r="K9" s="18" t="str">
        <f t="shared" si="1"/>
        <v/>
      </c>
      <c r="L9" s="16"/>
    </row>
    <row r="10" ht="15" customHeight="1">
      <c r="A10" s="12" t="s">
        <v>73</v>
      </c>
      <c r="B10" s="12"/>
      <c r="C10" s="12" t="s">
        <v>67</v>
      </c>
      <c r="D10" s="13"/>
      <c r="E10" s="13"/>
      <c r="F10" s="14" t="str">
        <f t="shared" ref="F10:F24" si="2">IF(D10&gt;0,E10/D10*100,"")</f>
        <v/>
      </c>
      <c r="G10" s="13"/>
      <c r="H10" s="12"/>
      <c r="I10" s="12"/>
      <c r="J10" s="12"/>
      <c r="K10" s="15" t="str">
        <f t="shared" ref="K10:K23" si="3">IF(F10="","",IF(AND(F10&gt;=90,F10&lt;=110),"✓ PASS","✗ FAIL"))</f>
        <v/>
      </c>
      <c r="L10" s="12"/>
    </row>
    <row r="11" ht="15" customHeight="1">
      <c r="A11" s="16" t="s">
        <v>74</v>
      </c>
      <c r="B11" s="16"/>
      <c r="C11" s="16" t="s">
        <v>67</v>
      </c>
      <c r="D11" s="13"/>
      <c r="E11" s="13"/>
      <c r="F11" s="17" t="str">
        <f t="shared" si="2"/>
        <v/>
      </c>
      <c r="G11" s="13"/>
      <c r="H11" s="16"/>
      <c r="I11" s="16"/>
      <c r="J11" s="16"/>
      <c r="K11" s="18" t="str">
        <f t="shared" si="3"/>
        <v/>
      </c>
      <c r="L11" s="16"/>
    </row>
    <row r="12" ht="15" customHeight="1">
      <c r="A12" s="12" t="s">
        <v>75</v>
      </c>
      <c r="B12" s="12"/>
      <c r="C12" s="12" t="s">
        <v>67</v>
      </c>
      <c r="D12" s="13"/>
      <c r="E12" s="13"/>
      <c r="F12" s="14" t="str">
        <f t="shared" si="2"/>
        <v/>
      </c>
      <c r="G12" s="13"/>
      <c r="H12" s="12"/>
      <c r="I12" s="12"/>
      <c r="J12" s="12"/>
      <c r="K12" s="15" t="str">
        <f t="shared" si="3"/>
        <v/>
      </c>
      <c r="L12" s="12"/>
    </row>
    <row r="13" ht="15" customHeight="1">
      <c r="A13" s="16" t="s">
        <v>76</v>
      </c>
      <c r="B13" s="16"/>
      <c r="C13" s="16" t="s">
        <v>67</v>
      </c>
      <c r="D13" s="13"/>
      <c r="E13" s="13"/>
      <c r="F13" s="17" t="str">
        <f t="shared" si="2"/>
        <v/>
      </c>
      <c r="G13" s="13"/>
      <c r="H13" s="16"/>
      <c r="I13" s="16"/>
      <c r="J13" s="16"/>
      <c r="K13" s="18" t="str">
        <f t="shared" si="3"/>
        <v/>
      </c>
      <c r="L13" s="16"/>
    </row>
    <row r="14" ht="15" customHeight="1">
      <c r="A14" s="12" t="s">
        <v>77</v>
      </c>
      <c r="B14" s="12"/>
      <c r="C14" s="12" t="s">
        <v>67</v>
      </c>
      <c r="D14" s="13"/>
      <c r="E14" s="13"/>
      <c r="F14" s="14" t="str">
        <f t="shared" si="2"/>
        <v/>
      </c>
      <c r="G14" s="13"/>
      <c r="H14" s="12"/>
      <c r="I14" s="12"/>
      <c r="J14" s="12"/>
      <c r="K14" s="15" t="str">
        <f t="shared" si="3"/>
        <v/>
      </c>
      <c r="L14" s="12"/>
    </row>
    <row r="15" ht="15" customHeight="1">
      <c r="A15" s="16" t="s">
        <v>78</v>
      </c>
      <c r="B15" s="16"/>
      <c r="C15" s="16" t="s">
        <v>67</v>
      </c>
      <c r="D15" s="13"/>
      <c r="E15" s="13"/>
      <c r="F15" s="17" t="str">
        <f t="shared" si="2"/>
        <v/>
      </c>
      <c r="G15" s="13"/>
      <c r="H15" s="16"/>
      <c r="I15" s="16"/>
      <c r="J15" s="16"/>
      <c r="K15" s="18" t="str">
        <f t="shared" si="3"/>
        <v/>
      </c>
      <c r="L15" s="16"/>
    </row>
    <row r="16" ht="15" customHeight="1">
      <c r="A16" s="12" t="s">
        <v>79</v>
      </c>
      <c r="B16" s="12"/>
      <c r="C16" s="12" t="s">
        <v>67</v>
      </c>
      <c r="D16" s="13"/>
      <c r="E16" s="13"/>
      <c r="F16" s="14" t="str">
        <f t="shared" si="2"/>
        <v/>
      </c>
      <c r="G16" s="13"/>
      <c r="H16" s="12"/>
      <c r="I16" s="12"/>
      <c r="J16" s="12"/>
      <c r="K16" s="15" t="str">
        <f t="shared" si="3"/>
        <v/>
      </c>
      <c r="L16" s="12"/>
    </row>
    <row r="17" ht="15" customHeight="1">
      <c r="A17" s="16" t="s">
        <v>80</v>
      </c>
      <c r="B17" s="16"/>
      <c r="C17" s="16" t="s">
        <v>67</v>
      </c>
      <c r="D17" s="13"/>
      <c r="E17" s="13"/>
      <c r="F17" s="17" t="str">
        <f t="shared" si="2"/>
        <v/>
      </c>
      <c r="G17" s="13"/>
      <c r="H17" s="16"/>
      <c r="I17" s="16"/>
      <c r="J17" s="16"/>
      <c r="K17" s="18" t="str">
        <f t="shared" si="3"/>
        <v/>
      </c>
      <c r="L17" s="16"/>
    </row>
    <row r="18" ht="15" customHeight="1">
      <c r="A18" s="12" t="s">
        <v>81</v>
      </c>
      <c r="B18" s="12"/>
      <c r="C18" s="12" t="s">
        <v>67</v>
      </c>
      <c r="D18" s="13"/>
      <c r="E18" s="13"/>
      <c r="F18" s="14" t="str">
        <f t="shared" si="2"/>
        <v/>
      </c>
      <c r="G18" s="13"/>
      <c r="H18" s="12"/>
      <c r="I18" s="12"/>
      <c r="J18" s="12"/>
      <c r="K18" s="15" t="str">
        <f t="shared" si="3"/>
        <v/>
      </c>
      <c r="L18" s="12"/>
    </row>
    <row r="19" ht="15" customHeight="1">
      <c r="A19" s="16" t="s">
        <v>82</v>
      </c>
      <c r="B19" s="16"/>
      <c r="C19" s="16" t="s">
        <v>67</v>
      </c>
      <c r="D19" s="13"/>
      <c r="E19" s="13"/>
      <c r="F19" s="17" t="str">
        <f t="shared" si="2"/>
        <v/>
      </c>
      <c r="G19" s="13"/>
      <c r="H19" s="16"/>
      <c r="I19" s="16"/>
      <c r="J19" s="16"/>
      <c r="K19" s="18" t="str">
        <f t="shared" si="3"/>
        <v/>
      </c>
      <c r="L19" s="16"/>
    </row>
    <row r="20" ht="15" customHeight="1">
      <c r="A20" s="12" t="s">
        <v>83</v>
      </c>
      <c r="B20" s="12"/>
      <c r="C20" s="12" t="s">
        <v>67</v>
      </c>
      <c r="D20" s="13"/>
      <c r="E20" s="13"/>
      <c r="F20" s="14" t="str">
        <f t="shared" si="2"/>
        <v/>
      </c>
      <c r="G20" s="13"/>
      <c r="H20" s="12"/>
      <c r="I20" s="12"/>
      <c r="J20" s="12"/>
      <c r="K20" s="15" t="str">
        <f t="shared" si="3"/>
        <v/>
      </c>
      <c r="L20" s="12"/>
    </row>
    <row r="21" ht="15" customHeight="1">
      <c r="A21" s="16" t="s">
        <v>84</v>
      </c>
      <c r="B21" s="16"/>
      <c r="C21" s="16" t="s">
        <v>67</v>
      </c>
      <c r="D21" s="13"/>
      <c r="E21" s="13"/>
      <c r="F21" s="17" t="str">
        <f t="shared" si="2"/>
        <v/>
      </c>
      <c r="G21" s="13"/>
      <c r="H21" s="16"/>
      <c r="I21" s="16"/>
      <c r="J21" s="16"/>
      <c r="K21" s="18" t="str">
        <f t="shared" si="3"/>
        <v/>
      </c>
      <c r="L21" s="16"/>
    </row>
    <row r="22" ht="15" customHeight="1">
      <c r="A22" s="12" t="s">
        <v>85</v>
      </c>
      <c r="B22" s="12"/>
      <c r="C22" s="12" t="s">
        <v>67</v>
      </c>
      <c r="D22" s="13"/>
      <c r="E22" s="13"/>
      <c r="F22" s="14" t="str">
        <f t="shared" si="2"/>
        <v/>
      </c>
      <c r="G22" s="13"/>
      <c r="H22" s="12"/>
      <c r="I22" s="12"/>
      <c r="J22" s="12"/>
      <c r="K22" s="15" t="str">
        <f t="shared" si="3"/>
        <v/>
      </c>
      <c r="L22" s="12"/>
    </row>
    <row r="23" ht="15" customHeight="1">
      <c r="A23" s="16" t="s">
        <v>86</v>
      </c>
      <c r="B23" s="16"/>
      <c r="C23" s="16" t="s">
        <v>67</v>
      </c>
      <c r="D23" s="13"/>
      <c r="E23" s="13"/>
      <c r="F23" s="17" t="str">
        <f t="shared" si="2"/>
        <v/>
      </c>
      <c r="G23" s="13"/>
      <c r="H23" s="16"/>
      <c r="I23" s="16"/>
      <c r="J23" s="16"/>
      <c r="K23" s="18" t="str">
        <f t="shared" si="3"/>
        <v/>
      </c>
      <c r="L23" s="16"/>
    </row>
    <row r="24" ht="16.5" customHeight="1">
      <c r="A24" s="19" t="s">
        <v>87</v>
      </c>
      <c r="B24" s="19"/>
      <c r="C24" s="19"/>
      <c r="D24" s="19">
        <f>SUM(D4:D23)</f>
        <v>0</v>
      </c>
      <c r="E24" s="19">
        <f>SUM(E4:E23)</f>
        <v>0</v>
      </c>
      <c r="F24" s="20" t="str">
        <f t="shared" si="2"/>
        <v/>
      </c>
      <c r="G24" s="19"/>
      <c r="H24" s="19"/>
      <c r="I24" s="19"/>
      <c r="J24" s="19"/>
      <c r="K24" s="19"/>
      <c r="L24" s="19"/>
    </row>
    <row r="25" ht="4.5" customHeight="1"/>
    <row r="26" ht="21.75" customHeight="1">
      <c r="A26" s="4" t="s">
        <v>88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0"/>
      <c r="N26" s="10"/>
    </row>
    <row r="27" ht="15.75" customHeight="1">
      <c r="A27" s="5" t="s">
        <v>89</v>
      </c>
      <c r="B27" s="21">
        <f>D24</f>
        <v>0</v>
      </c>
      <c r="C27" s="22"/>
      <c r="D27" s="22"/>
      <c r="E27" s="22"/>
      <c r="F27" s="22"/>
      <c r="G27" s="5" t="s">
        <v>90</v>
      </c>
      <c r="H27" s="21">
        <f>E24</f>
        <v>0</v>
      </c>
      <c r="I27" s="22"/>
      <c r="J27" s="22"/>
      <c r="K27" s="22"/>
      <c r="L27" s="22"/>
    </row>
    <row r="28" ht="15.75" customHeight="1">
      <c r="A28" s="5" t="s">
        <v>91</v>
      </c>
      <c r="B28" s="23" t="str">
        <f>IF(D24&gt;0,E24/D24*100,"")</f>
        <v/>
      </c>
      <c r="C28" s="24"/>
      <c r="D28" s="24"/>
      <c r="E28" s="24"/>
      <c r="F28" s="24"/>
      <c r="G28" s="5" t="s">
        <v>92</v>
      </c>
      <c r="H28" s="21" t="s">
        <v>93</v>
      </c>
      <c r="I28" s="24"/>
      <c r="J28" s="24"/>
      <c r="K28" s="24"/>
      <c r="L28" s="24"/>
    </row>
    <row r="29" ht="15.75" customHeight="1">
      <c r="A29" s="5" t="s">
        <v>94</v>
      </c>
      <c r="B29" s="21">
        <f>COUNTA(A4:A23)</f>
        <v>20</v>
      </c>
      <c r="C29" s="22"/>
      <c r="D29" s="22"/>
      <c r="E29" s="22"/>
      <c r="F29" s="22"/>
      <c r="G29" s="5" t="s">
        <v>95</v>
      </c>
      <c r="H29" s="21" t="str">
        <f>IF(AND(F24&gt;=90,F24&lt;=110),"✓ BALANCED","✗ REBALANCE REQUIRED")</f>
        <v xml:space="preserve">✗ REBALANCE REQUIRED</v>
      </c>
      <c r="I29" s="22"/>
      <c r="J29" s="22"/>
      <c r="K29" s="22"/>
      <c r="L29" s="22"/>
    </row>
    <row r="30" ht="4.5" customHeight="1"/>
    <row r="31" ht="18" customHeight="1">
      <c r="A31" s="8" t="s">
        <v>52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</sheetData>
  <mergeCells count="5">
    <mergeCell ref="A1:F1"/>
    <mergeCell ref="G1:L1"/>
    <mergeCell ref="A2:L2"/>
    <mergeCell ref="A26:L26"/>
    <mergeCell ref="A31:L3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18"/>
    <col customWidth="1" min="2" max="9" style="0" width="12"/>
    <col customWidth="1" min="10" max="11" style="0" width="10"/>
    <col customWidth="1" min="12" max="12" style="0" width="14"/>
  </cols>
  <sheetData>
    <row r="1" ht="30" customHeight="1">
      <c r="A1" s="1" t="s">
        <v>0</v>
      </c>
      <c r="B1" s="1"/>
      <c r="C1" s="1"/>
      <c r="D1" s="1"/>
      <c r="E1" s="1"/>
      <c r="F1" s="1"/>
      <c r="G1" s="9"/>
      <c r="H1" s="9"/>
      <c r="I1" s="9"/>
      <c r="J1" s="9"/>
      <c r="K1" s="9"/>
      <c r="L1" s="9"/>
    </row>
    <row r="2" ht="21.75" customHeight="1">
      <c r="A2" s="4" t="s">
        <v>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8" customHeight="1">
      <c r="A3" s="11" t="s">
        <v>97</v>
      </c>
      <c r="B3" s="11" t="s">
        <v>55</v>
      </c>
      <c r="C3" s="11" t="s">
        <v>98</v>
      </c>
      <c r="D3" s="11" t="s">
        <v>57</v>
      </c>
      <c r="E3" s="11" t="s">
        <v>58</v>
      </c>
      <c r="F3" s="11" t="s">
        <v>59</v>
      </c>
      <c r="G3" s="11" t="s">
        <v>60</v>
      </c>
      <c r="H3" s="11" t="s">
        <v>99</v>
      </c>
      <c r="I3" s="11" t="s">
        <v>62</v>
      </c>
      <c r="J3" s="11" t="s">
        <v>63</v>
      </c>
      <c r="K3" s="11" t="s">
        <v>64</v>
      </c>
      <c r="L3" s="11" t="s">
        <v>65</v>
      </c>
    </row>
    <row r="4" ht="15" customHeight="1">
      <c r="A4" s="12" t="s">
        <v>100</v>
      </c>
      <c r="B4" s="25"/>
      <c r="C4" s="25"/>
      <c r="D4" s="13"/>
      <c r="E4" s="13"/>
      <c r="F4" s="25" t="str">
        <f t="shared" ref="F4:F9" si="4">IF(D4&gt;0,E4/D4*100,"")</f>
        <v/>
      </c>
      <c r="G4" s="13"/>
      <c r="H4" s="25"/>
      <c r="I4" s="25"/>
      <c r="J4" s="25"/>
      <c r="K4" s="15" t="str">
        <f t="shared" ref="K4:K9" si="5">IF(F4="","",IF(AND(F4&gt;=90,F4&lt;=110),"✓ PASS","✗ FAIL"))</f>
        <v/>
      </c>
      <c r="L4" s="25"/>
    </row>
    <row r="5" ht="15" customHeight="1">
      <c r="A5" s="16" t="s">
        <v>101</v>
      </c>
      <c r="B5" s="26"/>
      <c r="C5" s="26"/>
      <c r="D5" s="13"/>
      <c r="E5" s="13"/>
      <c r="F5" s="26" t="str">
        <f t="shared" si="4"/>
        <v/>
      </c>
      <c r="G5" s="13"/>
      <c r="H5" s="26"/>
      <c r="I5" s="26"/>
      <c r="J5" s="26"/>
      <c r="K5" s="18" t="str">
        <f t="shared" si="5"/>
        <v/>
      </c>
      <c r="L5" s="26"/>
    </row>
    <row r="6" ht="15" customHeight="1">
      <c r="A6" s="12" t="s">
        <v>102</v>
      </c>
      <c r="B6" s="25"/>
      <c r="C6" s="25"/>
      <c r="D6" s="13"/>
      <c r="E6" s="13"/>
      <c r="F6" s="25" t="str">
        <f t="shared" si="4"/>
        <v/>
      </c>
      <c r="G6" s="13"/>
      <c r="H6" s="25"/>
      <c r="I6" s="25"/>
      <c r="J6" s="25"/>
      <c r="K6" s="15" t="str">
        <f t="shared" si="5"/>
        <v/>
      </c>
      <c r="L6" s="25"/>
    </row>
    <row r="7" ht="15" customHeight="1">
      <c r="A7" s="16" t="s">
        <v>103</v>
      </c>
      <c r="B7" s="26"/>
      <c r="C7" s="26"/>
      <c r="D7" s="13"/>
      <c r="E7" s="13"/>
      <c r="F7" s="26" t="str">
        <f t="shared" si="4"/>
        <v/>
      </c>
      <c r="G7" s="13"/>
      <c r="H7" s="26"/>
      <c r="I7" s="26"/>
      <c r="J7" s="26"/>
      <c r="K7" s="18" t="str">
        <f t="shared" si="5"/>
        <v/>
      </c>
      <c r="L7" s="26"/>
    </row>
    <row r="8" ht="15" customHeight="1">
      <c r="A8" s="12" t="s">
        <v>104</v>
      </c>
      <c r="B8" s="25"/>
      <c r="C8" s="25"/>
      <c r="D8" s="13"/>
      <c r="E8" s="13"/>
      <c r="F8" s="25" t="str">
        <f t="shared" si="4"/>
        <v/>
      </c>
      <c r="G8" s="13"/>
      <c r="H8" s="25"/>
      <c r="I8" s="25"/>
      <c r="J8" s="25"/>
      <c r="K8" s="15" t="str">
        <f t="shared" si="5"/>
        <v/>
      </c>
      <c r="L8" s="25"/>
    </row>
    <row r="9" ht="15" customHeight="1">
      <c r="A9" s="16" t="s">
        <v>105</v>
      </c>
      <c r="B9" s="26"/>
      <c r="C9" s="26"/>
      <c r="D9" s="13"/>
      <c r="E9" s="13"/>
      <c r="F9" s="26" t="str">
        <f t="shared" si="4"/>
        <v/>
      </c>
      <c r="G9" s="13"/>
      <c r="H9" s="26"/>
      <c r="I9" s="26"/>
      <c r="J9" s="26"/>
      <c r="K9" s="18" t="str">
        <f t="shared" si="5"/>
        <v/>
      </c>
      <c r="L9" s="26"/>
    </row>
    <row r="10" ht="15" customHeight="1">
      <c r="A10" s="12" t="s">
        <v>106</v>
      </c>
      <c r="B10" s="25"/>
      <c r="C10" s="25"/>
      <c r="D10" s="13"/>
      <c r="E10" s="13"/>
      <c r="F10" s="25" t="str">
        <f t="shared" ref="F10:F28" si="6">IF(D10&gt;0,E10/D10*100,"")</f>
        <v/>
      </c>
      <c r="G10" s="13"/>
      <c r="H10" s="25"/>
      <c r="I10" s="25"/>
      <c r="J10" s="25"/>
      <c r="K10" s="15" t="str">
        <f t="shared" ref="K10:K27" si="7">IF(F10="","",IF(AND(F10&gt;=90,F10&lt;=110),"✓ PASS","✗ FAIL"))</f>
        <v/>
      </c>
      <c r="L10" s="25"/>
    </row>
    <row r="11" ht="15" customHeight="1">
      <c r="A11" s="16" t="s">
        <v>107</v>
      </c>
      <c r="B11" s="26"/>
      <c r="C11" s="26"/>
      <c r="D11" s="13"/>
      <c r="E11" s="13"/>
      <c r="F11" s="26" t="str">
        <f t="shared" si="6"/>
        <v/>
      </c>
      <c r="G11" s="13"/>
      <c r="H11" s="26"/>
      <c r="I11" s="26"/>
      <c r="J11" s="26"/>
      <c r="K11" s="18" t="str">
        <f t="shared" si="7"/>
        <v/>
      </c>
      <c r="L11" s="26"/>
    </row>
    <row r="12" ht="15" customHeight="1">
      <c r="A12" s="12" t="s">
        <v>108</v>
      </c>
      <c r="B12" s="25"/>
      <c r="C12" s="25"/>
      <c r="D12" s="13"/>
      <c r="E12" s="13"/>
      <c r="F12" s="25" t="str">
        <f t="shared" si="6"/>
        <v/>
      </c>
      <c r="G12" s="13"/>
      <c r="H12" s="25"/>
      <c r="I12" s="25"/>
      <c r="J12" s="25"/>
      <c r="K12" s="15" t="str">
        <f t="shared" si="7"/>
        <v/>
      </c>
      <c r="L12" s="25"/>
    </row>
    <row r="13" ht="15" customHeight="1">
      <c r="A13" s="16" t="s">
        <v>109</v>
      </c>
      <c r="B13" s="26"/>
      <c r="C13" s="26"/>
      <c r="D13" s="13"/>
      <c r="E13" s="13"/>
      <c r="F13" s="26" t="str">
        <f t="shared" si="6"/>
        <v/>
      </c>
      <c r="G13" s="13"/>
      <c r="H13" s="26"/>
      <c r="I13" s="26"/>
      <c r="J13" s="26"/>
      <c r="K13" s="18" t="str">
        <f t="shared" si="7"/>
        <v/>
      </c>
      <c r="L13" s="26"/>
    </row>
    <row r="14" ht="15" customHeight="1">
      <c r="A14" s="12" t="s">
        <v>110</v>
      </c>
      <c r="B14" s="25"/>
      <c r="C14" s="25"/>
      <c r="D14" s="13"/>
      <c r="E14" s="13"/>
      <c r="F14" s="25" t="str">
        <f t="shared" si="6"/>
        <v/>
      </c>
      <c r="G14" s="13"/>
      <c r="H14" s="25"/>
      <c r="I14" s="25"/>
      <c r="J14" s="25"/>
      <c r="K14" s="15" t="str">
        <f t="shared" si="7"/>
        <v/>
      </c>
      <c r="L14" s="25"/>
    </row>
    <row r="15" ht="15" customHeight="1">
      <c r="A15" s="16" t="s">
        <v>111</v>
      </c>
      <c r="B15" s="26"/>
      <c r="C15" s="26"/>
      <c r="D15" s="13"/>
      <c r="E15" s="13"/>
      <c r="F15" s="26" t="str">
        <f t="shared" si="6"/>
        <v/>
      </c>
      <c r="G15" s="13"/>
      <c r="H15" s="26"/>
      <c r="I15" s="26"/>
      <c r="J15" s="26"/>
      <c r="K15" s="18" t="str">
        <f t="shared" si="7"/>
        <v/>
      </c>
      <c r="L15" s="26"/>
    </row>
    <row r="16" ht="16.5" customHeight="1">
      <c r="A16" s="27" t="s">
        <v>112</v>
      </c>
      <c r="B16" s="27"/>
      <c r="C16" s="27"/>
      <c r="D16" s="27">
        <f>SUM(D4:D15)</f>
        <v>0</v>
      </c>
      <c r="E16" s="27">
        <f>SUM(E4:E15)</f>
        <v>0</v>
      </c>
      <c r="F16" s="27" t="str">
        <f t="shared" si="6"/>
        <v/>
      </c>
      <c r="G16" s="27"/>
      <c r="H16" s="27"/>
      <c r="I16" s="27"/>
      <c r="J16" s="27"/>
      <c r="K16" s="27"/>
      <c r="L16" s="27"/>
    </row>
    <row r="17" ht="7.5" customHeight="1"/>
    <row r="18" ht="21.75" customHeight="1">
      <c r="A18" s="4" t="s">
        <v>113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8" customHeight="1">
      <c r="A19" s="11" t="s">
        <v>114</v>
      </c>
      <c r="B19" s="11" t="s">
        <v>55</v>
      </c>
      <c r="C19" s="11" t="s">
        <v>115</v>
      </c>
      <c r="D19" s="11" t="s">
        <v>57</v>
      </c>
      <c r="E19" s="11" t="s">
        <v>58</v>
      </c>
      <c r="F19" s="11" t="s">
        <v>59</v>
      </c>
      <c r="G19" s="11" t="s">
        <v>116</v>
      </c>
      <c r="H19" s="11" t="s">
        <v>117</v>
      </c>
      <c r="I19" s="11" t="s">
        <v>118</v>
      </c>
      <c r="J19" s="11" t="s">
        <v>119</v>
      </c>
      <c r="K19" s="11" t="s">
        <v>64</v>
      </c>
      <c r="L19" s="11" t="s">
        <v>65</v>
      </c>
    </row>
    <row r="20" ht="15" customHeight="1">
      <c r="A20" s="12" t="s">
        <v>120</v>
      </c>
      <c r="B20" s="25"/>
      <c r="C20" s="25"/>
      <c r="D20" s="13"/>
      <c r="E20" s="13"/>
      <c r="F20" s="25" t="str">
        <f t="shared" si="6"/>
        <v/>
      </c>
      <c r="G20" s="13"/>
      <c r="H20" s="13"/>
      <c r="I20" s="13"/>
      <c r="J20" s="13"/>
      <c r="K20" s="15" t="str">
        <f t="shared" si="7"/>
        <v/>
      </c>
      <c r="L20" s="25"/>
    </row>
    <row r="21" ht="15" customHeight="1">
      <c r="A21" s="16" t="s">
        <v>121</v>
      </c>
      <c r="B21" s="26"/>
      <c r="C21" s="26"/>
      <c r="D21" s="13"/>
      <c r="E21" s="13"/>
      <c r="F21" s="26" t="str">
        <f t="shared" si="6"/>
        <v/>
      </c>
      <c r="G21" s="13"/>
      <c r="H21" s="13"/>
      <c r="I21" s="13"/>
      <c r="J21" s="13"/>
      <c r="K21" s="18" t="str">
        <f t="shared" si="7"/>
        <v/>
      </c>
      <c r="L21" s="26"/>
    </row>
    <row r="22" ht="15" customHeight="1">
      <c r="A22" s="12" t="s">
        <v>122</v>
      </c>
      <c r="B22" s="25"/>
      <c r="C22" s="25"/>
      <c r="D22" s="13"/>
      <c r="E22" s="13"/>
      <c r="F22" s="25" t="str">
        <f t="shared" si="6"/>
        <v/>
      </c>
      <c r="G22" s="13"/>
      <c r="H22" s="13"/>
      <c r="I22" s="13"/>
      <c r="J22" s="13"/>
      <c r="K22" s="15" t="str">
        <f t="shared" si="7"/>
        <v/>
      </c>
      <c r="L22" s="25"/>
    </row>
    <row r="23" ht="15" customHeight="1">
      <c r="A23" s="16" t="s">
        <v>123</v>
      </c>
      <c r="B23" s="26"/>
      <c r="C23" s="26"/>
      <c r="D23" s="13"/>
      <c r="E23" s="13"/>
      <c r="F23" s="26" t="str">
        <f t="shared" si="6"/>
        <v/>
      </c>
      <c r="G23" s="13"/>
      <c r="H23" s="13"/>
      <c r="I23" s="13"/>
      <c r="J23" s="13"/>
      <c r="K23" s="18" t="str">
        <f t="shared" si="7"/>
        <v/>
      </c>
      <c r="L23" s="26"/>
    </row>
    <row r="24" ht="15" customHeight="1">
      <c r="A24" s="12" t="s">
        <v>124</v>
      </c>
      <c r="B24" s="25"/>
      <c r="C24" s="25"/>
      <c r="D24" s="13"/>
      <c r="E24" s="13"/>
      <c r="F24" s="25" t="str">
        <f t="shared" si="6"/>
        <v/>
      </c>
      <c r="G24" s="13"/>
      <c r="H24" s="13"/>
      <c r="I24" s="13"/>
      <c r="J24" s="13"/>
      <c r="K24" s="15" t="str">
        <f t="shared" si="7"/>
        <v/>
      </c>
      <c r="L24" s="25"/>
    </row>
    <row r="25" ht="15" customHeight="1">
      <c r="A25" s="16" t="s">
        <v>125</v>
      </c>
      <c r="B25" s="26"/>
      <c r="C25" s="26"/>
      <c r="D25" s="13"/>
      <c r="E25" s="13"/>
      <c r="F25" s="26" t="str">
        <f t="shared" si="6"/>
        <v/>
      </c>
      <c r="G25" s="13"/>
      <c r="H25" s="13"/>
      <c r="I25" s="13"/>
      <c r="J25" s="13"/>
      <c r="K25" s="18" t="str">
        <f t="shared" si="7"/>
        <v/>
      </c>
      <c r="L25" s="26"/>
    </row>
    <row r="26" ht="15" customHeight="1">
      <c r="A26" s="12" t="s">
        <v>126</v>
      </c>
      <c r="B26" s="25"/>
      <c r="C26" s="25"/>
      <c r="D26" s="13"/>
      <c r="E26" s="13"/>
      <c r="F26" s="25" t="str">
        <f t="shared" si="6"/>
        <v/>
      </c>
      <c r="G26" s="13"/>
      <c r="H26" s="13"/>
      <c r="I26" s="13"/>
      <c r="J26" s="13"/>
      <c r="K26" s="15" t="str">
        <f t="shared" si="7"/>
        <v/>
      </c>
      <c r="L26" s="25"/>
    </row>
    <row r="27" ht="15" customHeight="1">
      <c r="A27" s="16" t="s">
        <v>127</v>
      </c>
      <c r="B27" s="26"/>
      <c r="C27" s="26"/>
      <c r="D27" s="13"/>
      <c r="E27" s="13"/>
      <c r="F27" s="26" t="str">
        <f t="shared" si="6"/>
        <v/>
      </c>
      <c r="G27" s="13"/>
      <c r="H27" s="13"/>
      <c r="I27" s="13"/>
      <c r="J27" s="13"/>
      <c r="K27" s="18" t="str">
        <f t="shared" si="7"/>
        <v/>
      </c>
      <c r="L27" s="26"/>
    </row>
    <row r="28" ht="16.5" customHeight="1">
      <c r="A28" s="27" t="s">
        <v>128</v>
      </c>
      <c r="B28" s="27"/>
      <c r="C28" s="27"/>
      <c r="D28" s="27">
        <f>SUM(D20:D27)</f>
        <v>0</v>
      </c>
      <c r="E28" s="27">
        <f>SUM(E20:E27)</f>
        <v>0</v>
      </c>
      <c r="F28" s="27" t="str">
        <f t="shared" si="6"/>
        <v/>
      </c>
      <c r="G28" s="27"/>
      <c r="H28" s="27"/>
      <c r="I28" s="27"/>
      <c r="J28" s="27"/>
      <c r="K28" s="27"/>
      <c r="L28" s="27"/>
    </row>
    <row r="29" ht="4.5" customHeight="1"/>
    <row r="30" ht="18" customHeight="1">
      <c r="A30" s="8" t="s">
        <v>52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</sheetData>
  <mergeCells count="5">
    <mergeCell ref="A1:F1"/>
    <mergeCell ref="G1:L1"/>
    <mergeCell ref="A2:L2"/>
    <mergeCell ref="A18:L18"/>
    <mergeCell ref="A30:L30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26"/>
    <col customWidth="1" min="2" max="3" style="0" width="16"/>
    <col customWidth="1" min="4" max="6" style="0" width="14"/>
    <col customWidth="1" min="7" max="7" style="0" width="10"/>
    <col customWidth="1" min="8" max="8" style="0" width="14"/>
  </cols>
  <sheetData>
    <row r="1" ht="30" customHeight="1">
      <c r="A1" s="1" t="s">
        <v>0</v>
      </c>
      <c r="B1" s="1"/>
      <c r="C1" s="1"/>
      <c r="D1" s="1"/>
      <c r="E1" s="10"/>
      <c r="F1" s="10"/>
      <c r="G1" s="10"/>
      <c r="H1" s="10"/>
      <c r="I1" s="9"/>
      <c r="J1" s="9"/>
      <c r="K1" s="9"/>
      <c r="L1" s="9"/>
    </row>
    <row r="2" ht="21.75" customHeight="1">
      <c r="A2" s="4" t="s">
        <v>129</v>
      </c>
      <c r="B2" s="4"/>
      <c r="C2" s="4"/>
      <c r="D2" s="4"/>
      <c r="E2" s="4"/>
      <c r="F2" s="4"/>
      <c r="G2" s="4"/>
      <c r="H2" s="4"/>
      <c r="I2" s="10"/>
      <c r="J2" s="10"/>
      <c r="K2" s="10"/>
      <c r="L2" s="10"/>
      <c r="M2" s="10"/>
    </row>
    <row r="3" ht="18" customHeight="1">
      <c r="A3" s="11" t="s">
        <v>130</v>
      </c>
      <c r="B3" s="11" t="s">
        <v>131</v>
      </c>
      <c r="C3" s="11" t="s">
        <v>132</v>
      </c>
      <c r="D3" s="11" t="s">
        <v>133</v>
      </c>
      <c r="E3" s="11" t="s">
        <v>134</v>
      </c>
      <c r="F3" s="11" t="s">
        <v>64</v>
      </c>
      <c r="G3" s="11"/>
      <c r="H3" s="11" t="s">
        <v>65</v>
      </c>
    </row>
    <row r="4" ht="15" customHeight="1">
      <c r="A4" s="5" t="s">
        <v>135</v>
      </c>
      <c r="B4" s="13"/>
      <c r="C4" s="13"/>
      <c r="D4" s="12" t="s">
        <v>136</v>
      </c>
      <c r="E4" s="12" t="s">
        <v>93</v>
      </c>
      <c r="F4" s="12"/>
      <c r="G4" s="12"/>
      <c r="H4" s="12"/>
    </row>
    <row r="5" ht="15" customHeight="1">
      <c r="A5" s="5" t="s">
        <v>137</v>
      </c>
      <c r="B5" s="13"/>
      <c r="C5" s="13"/>
      <c r="D5" s="16" t="s">
        <v>136</v>
      </c>
      <c r="E5" s="16" t="s">
        <v>93</v>
      </c>
      <c r="F5" s="16"/>
      <c r="G5" s="16"/>
      <c r="H5" s="16"/>
    </row>
    <row r="6" ht="15" customHeight="1">
      <c r="A6" s="5" t="s">
        <v>138</v>
      </c>
      <c r="B6" s="13"/>
      <c r="C6" s="13"/>
      <c r="D6" s="12" t="s">
        <v>136</v>
      </c>
      <c r="E6" s="12" t="s">
        <v>93</v>
      </c>
      <c r="F6" s="12"/>
      <c r="G6" s="12"/>
      <c r="H6" s="12"/>
    </row>
    <row r="7" ht="15" customHeight="1">
      <c r="A7" s="5" t="s">
        <v>139</v>
      </c>
      <c r="B7" s="13"/>
      <c r="C7" s="13"/>
      <c r="D7" s="16" t="s">
        <v>140</v>
      </c>
      <c r="E7" s="16" t="s">
        <v>141</v>
      </c>
      <c r="F7" s="16"/>
      <c r="G7" s="16"/>
      <c r="H7" s="16"/>
    </row>
    <row r="8" ht="15" customHeight="1">
      <c r="A8" s="5" t="s">
        <v>142</v>
      </c>
      <c r="B8" s="13"/>
      <c r="C8" s="13"/>
      <c r="D8" s="12" t="s">
        <v>140</v>
      </c>
      <c r="E8" s="12" t="s">
        <v>141</v>
      </c>
      <c r="F8" s="12"/>
      <c r="G8" s="12"/>
      <c r="H8" s="12"/>
    </row>
    <row r="9" ht="15" customHeight="1">
      <c r="A9" s="5" t="s">
        <v>143</v>
      </c>
      <c r="B9" s="13"/>
      <c r="C9" s="13"/>
      <c r="D9" s="16" t="s">
        <v>140</v>
      </c>
      <c r="E9" s="16" t="s">
        <v>141</v>
      </c>
      <c r="F9" s="16"/>
      <c r="G9" s="16"/>
      <c r="H9" s="16"/>
    </row>
    <row r="10" ht="15" customHeight="1">
      <c r="A10" s="5" t="s">
        <v>144</v>
      </c>
      <c r="B10" s="13"/>
      <c r="C10" s="13"/>
      <c r="D10" s="12" t="s">
        <v>145</v>
      </c>
      <c r="E10" s="12" t="s">
        <v>146</v>
      </c>
      <c r="F10" s="12"/>
      <c r="G10" s="12"/>
      <c r="H10" s="12"/>
    </row>
    <row r="11" ht="15" customHeight="1">
      <c r="A11" s="5" t="s">
        <v>147</v>
      </c>
      <c r="B11" s="13"/>
      <c r="C11" s="13"/>
      <c r="D11" s="16" t="s">
        <v>145</v>
      </c>
      <c r="E11" s="16" t="s">
        <v>146</v>
      </c>
      <c r="F11" s="16"/>
      <c r="G11" s="16"/>
      <c r="H11" s="16"/>
    </row>
    <row r="12" ht="15" customHeight="1">
      <c r="A12" s="5" t="s">
        <v>148</v>
      </c>
      <c r="B12" s="13"/>
      <c r="C12" s="13"/>
      <c r="D12" s="12" t="s">
        <v>149</v>
      </c>
      <c r="E12" s="12"/>
      <c r="F12" s="12"/>
      <c r="G12" s="12"/>
      <c r="H12" s="12"/>
    </row>
    <row r="13" ht="15" customHeight="1">
      <c r="A13" s="5" t="s">
        <v>150</v>
      </c>
      <c r="B13" s="13"/>
      <c r="C13" s="13"/>
      <c r="D13" s="16" t="s">
        <v>149</v>
      </c>
      <c r="E13" s="16" t="s">
        <v>151</v>
      </c>
      <c r="F13" s="16"/>
      <c r="G13" s="16"/>
      <c r="H13" s="16"/>
    </row>
    <row r="14" ht="15" customHeight="1">
      <c r="A14" s="5" t="s">
        <v>152</v>
      </c>
      <c r="B14" s="13"/>
      <c r="C14" s="13"/>
      <c r="D14" s="12" t="s">
        <v>153</v>
      </c>
      <c r="E14" s="12"/>
      <c r="F14" s="12"/>
      <c r="G14" s="12"/>
      <c r="H14" s="12"/>
    </row>
    <row r="15" ht="15" customHeight="1">
      <c r="A15" s="5" t="s">
        <v>154</v>
      </c>
      <c r="B15" s="13"/>
      <c r="C15" s="13"/>
      <c r="D15" s="16"/>
      <c r="E15" s="16"/>
      <c r="F15" s="16"/>
      <c r="G15" s="16"/>
      <c r="H15" s="16"/>
    </row>
    <row r="16" ht="15" customHeight="1">
      <c r="A16" s="5" t="s">
        <v>155</v>
      </c>
      <c r="B16" s="13"/>
      <c r="C16" s="13"/>
      <c r="D16" s="12" t="s">
        <v>156</v>
      </c>
      <c r="E16" s="12"/>
      <c r="F16" s="12"/>
      <c r="G16" s="12"/>
      <c r="H16" s="12"/>
    </row>
    <row r="17" ht="15" customHeight="1">
      <c r="A17" s="5" t="s">
        <v>157</v>
      </c>
      <c r="B17" s="13"/>
      <c r="C17" s="13"/>
      <c r="D17" s="16" t="s">
        <v>156</v>
      </c>
      <c r="E17" s="16"/>
      <c r="F17" s="16"/>
      <c r="G17" s="16"/>
      <c r="H17" s="16"/>
    </row>
    <row r="18" ht="15" customHeight="1">
      <c r="A18" s="5" t="s">
        <v>158</v>
      </c>
      <c r="B18" s="13"/>
      <c r="C18" s="13"/>
      <c r="D18" s="12" t="s">
        <v>156</v>
      </c>
      <c r="E18" s="12"/>
      <c r="F18" s="12"/>
      <c r="G18" s="12"/>
      <c r="H18" s="12"/>
    </row>
    <row r="19" ht="15" customHeight="1">
      <c r="A19" s="5" t="s">
        <v>159</v>
      </c>
      <c r="B19" s="13"/>
      <c r="C19" s="13"/>
      <c r="D19" s="16" t="s">
        <v>156</v>
      </c>
      <c r="E19" s="16"/>
      <c r="F19" s="16"/>
      <c r="G19" s="16"/>
      <c r="H19" s="16"/>
    </row>
    <row r="20" ht="15" customHeight="1">
      <c r="A20" s="5" t="s">
        <v>160</v>
      </c>
      <c r="B20" s="13"/>
      <c r="C20" s="13"/>
      <c r="D20" s="12" t="s">
        <v>140</v>
      </c>
      <c r="E20" s="12"/>
      <c r="F20" s="12"/>
      <c r="G20" s="12"/>
      <c r="H20" s="12"/>
    </row>
    <row r="21" ht="15" customHeight="1">
      <c r="A21" s="5" t="s">
        <v>161</v>
      </c>
      <c r="B21" s="13"/>
      <c r="C21" s="13"/>
      <c r="D21" s="16" t="s">
        <v>140</v>
      </c>
      <c r="E21" s="16" t="s">
        <v>162</v>
      </c>
      <c r="F21" s="16"/>
      <c r="G21" s="16"/>
      <c r="H21" s="16"/>
    </row>
    <row r="22" ht="15" customHeight="1">
      <c r="A22" s="5" t="s">
        <v>163</v>
      </c>
      <c r="B22" s="13"/>
      <c r="C22" s="13"/>
      <c r="D22" s="12"/>
      <c r="E22" s="12"/>
      <c r="F22" s="12"/>
      <c r="G22" s="12"/>
      <c r="H22" s="12"/>
    </row>
    <row r="23" ht="15" customHeight="1">
      <c r="A23" s="5" t="s">
        <v>164</v>
      </c>
      <c r="B23" s="13"/>
      <c r="C23" s="13"/>
      <c r="D23" s="16" t="s">
        <v>165</v>
      </c>
      <c r="E23" s="16"/>
      <c r="F23" s="16"/>
      <c r="G23" s="16"/>
      <c r="H23" s="16"/>
    </row>
    <row r="24" ht="15" customHeight="1">
      <c r="A24" s="5" t="s">
        <v>166</v>
      </c>
      <c r="B24" s="13"/>
      <c r="C24" s="13"/>
      <c r="D24" s="12" t="s">
        <v>165</v>
      </c>
      <c r="E24" s="12"/>
      <c r="F24" s="12"/>
      <c r="G24" s="12"/>
      <c r="H24" s="12"/>
    </row>
    <row r="25" ht="15" customHeight="1">
      <c r="A25" s="5" t="s">
        <v>167</v>
      </c>
      <c r="B25" s="13"/>
      <c r="C25" s="13"/>
      <c r="D25" s="16" t="s">
        <v>156</v>
      </c>
      <c r="E25" s="16"/>
      <c r="F25" s="16"/>
      <c r="G25" s="16"/>
      <c r="H25" s="16"/>
    </row>
    <row r="26" ht="4.5" customHeight="1"/>
    <row r="27" ht="21.75" customHeight="1">
      <c r="A27" s="4" t="s">
        <v>168</v>
      </c>
      <c r="B27" s="4"/>
      <c r="C27" s="4"/>
      <c r="D27" s="4"/>
      <c r="E27" s="4"/>
      <c r="F27" s="4"/>
      <c r="G27" s="4"/>
      <c r="H27" s="4"/>
      <c r="I27" s="10"/>
      <c r="J27" s="10"/>
      <c r="K27" s="10"/>
      <c r="L27" s="10"/>
      <c r="M27" s="10"/>
      <c r="N27" s="10"/>
    </row>
    <row r="28" ht="18" customHeight="1">
      <c r="A28" s="11" t="s">
        <v>169</v>
      </c>
      <c r="B28" s="11" t="s">
        <v>170</v>
      </c>
      <c r="C28" s="11" t="s">
        <v>171</v>
      </c>
      <c r="D28" s="11" t="s">
        <v>133</v>
      </c>
      <c r="E28" s="11" t="s">
        <v>172</v>
      </c>
      <c r="F28" s="11" t="s">
        <v>64</v>
      </c>
      <c r="G28" s="11"/>
      <c r="H28" s="11" t="s">
        <v>65</v>
      </c>
    </row>
    <row r="29" ht="15" customHeight="1">
      <c r="A29" s="5" t="s">
        <v>173</v>
      </c>
      <c r="B29" s="13"/>
      <c r="C29" s="13"/>
      <c r="D29" s="12" t="s">
        <v>156</v>
      </c>
      <c r="E29" s="12"/>
      <c r="F29" s="12"/>
      <c r="G29" s="12"/>
      <c r="H29" s="12"/>
    </row>
    <row r="30" ht="15" customHeight="1">
      <c r="A30" s="5" t="s">
        <v>174</v>
      </c>
      <c r="B30" s="13"/>
      <c r="C30" s="13"/>
      <c r="D30" s="16" t="s">
        <v>156</v>
      </c>
      <c r="E30" s="16"/>
      <c r="F30" s="16"/>
      <c r="G30" s="16"/>
      <c r="H30" s="16"/>
    </row>
    <row r="31" ht="15" customHeight="1">
      <c r="A31" s="5" t="s">
        <v>175</v>
      </c>
      <c r="B31" s="13"/>
      <c r="C31" s="13"/>
      <c r="D31" s="12" t="s">
        <v>156</v>
      </c>
      <c r="E31" s="12"/>
      <c r="F31" s="12"/>
      <c r="G31" s="12"/>
      <c r="H31" s="12"/>
    </row>
    <row r="32" ht="15" customHeight="1">
      <c r="A32" s="5" t="s">
        <v>176</v>
      </c>
      <c r="B32" s="13"/>
      <c r="C32" s="13"/>
      <c r="D32" s="16" t="s">
        <v>156</v>
      </c>
      <c r="E32" s="16"/>
      <c r="F32" s="16"/>
      <c r="G32" s="16"/>
      <c r="H32" s="16"/>
    </row>
    <row r="33" ht="15" customHeight="1">
      <c r="A33" s="5" t="s">
        <v>177</v>
      </c>
      <c r="B33" s="13"/>
      <c r="C33" s="13"/>
      <c r="D33" s="12" t="s">
        <v>156</v>
      </c>
      <c r="E33" s="12"/>
      <c r="F33" s="12"/>
      <c r="G33" s="12"/>
      <c r="H33" s="12"/>
    </row>
    <row r="34" ht="15" customHeight="1">
      <c r="A34" s="5" t="s">
        <v>178</v>
      </c>
      <c r="B34" s="13"/>
      <c r="C34" s="13"/>
      <c r="D34" s="16" t="s">
        <v>156</v>
      </c>
      <c r="E34" s="16"/>
      <c r="F34" s="16"/>
      <c r="G34" s="16"/>
      <c r="H34" s="16"/>
    </row>
    <row r="35" ht="15" customHeight="1">
      <c r="A35" s="5" t="s">
        <v>179</v>
      </c>
      <c r="B35" s="13"/>
      <c r="C35" s="13"/>
      <c r="D35" s="12" t="s">
        <v>156</v>
      </c>
      <c r="E35" s="12"/>
      <c r="F35" s="12"/>
      <c r="G35" s="12"/>
      <c r="H35" s="12"/>
    </row>
    <row r="36" ht="15" customHeight="1">
      <c r="A36" s="5" t="s">
        <v>180</v>
      </c>
      <c r="B36" s="13"/>
      <c r="C36" s="13"/>
      <c r="D36" s="16" t="s">
        <v>156</v>
      </c>
      <c r="E36" s="16"/>
      <c r="F36" s="16"/>
      <c r="G36" s="16"/>
      <c r="H36" s="16"/>
    </row>
    <row r="37" ht="15" customHeight="1">
      <c r="A37" s="5" t="s">
        <v>181</v>
      </c>
      <c r="B37" s="13"/>
      <c r="C37" s="13"/>
      <c r="D37" s="12" t="s">
        <v>156</v>
      </c>
      <c r="E37" s="12"/>
      <c r="F37" s="12"/>
      <c r="G37" s="12"/>
      <c r="H37" s="12"/>
    </row>
    <row r="38" ht="15" customHeight="1">
      <c r="A38" s="5" t="s">
        <v>182</v>
      </c>
      <c r="B38" s="13"/>
      <c r="C38" s="13"/>
      <c r="D38" s="16" t="s">
        <v>156</v>
      </c>
      <c r="E38" s="16"/>
      <c r="F38" s="16"/>
      <c r="G38" s="16"/>
      <c r="H38" s="16"/>
    </row>
    <row r="39" ht="4.5" customHeight="1"/>
    <row r="40" ht="18" customHeight="1">
      <c r="A40" s="8" t="s">
        <v>52</v>
      </c>
      <c r="B40" s="8"/>
      <c r="C40" s="8"/>
      <c r="D40" s="8"/>
      <c r="E40" s="8"/>
      <c r="F40" s="8"/>
      <c r="G40" s="8"/>
      <c r="H40" s="8"/>
      <c r="I40" s="24"/>
      <c r="J40" s="24"/>
      <c r="K40" s="24"/>
      <c r="L40" s="24"/>
    </row>
  </sheetData>
  <mergeCells count="5">
    <mergeCell ref="A1:D1"/>
    <mergeCell ref="E1:H1"/>
    <mergeCell ref="A2:H2"/>
    <mergeCell ref="A27:H27"/>
    <mergeCell ref="A40:H40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20"/>
    <col customWidth="1" min="2" max="7" style="0" width="12"/>
    <col customWidth="1" min="8" max="8" style="0" width="14"/>
    <col customWidth="1" min="9" max="10" style="0" width="12"/>
    <col customWidth="1" min="11" max="11" style="0" width="10"/>
    <col customWidth="1" min="12" max="12" style="0" width="14"/>
  </cols>
  <sheetData>
    <row r="1" ht="30" customHeight="1">
      <c r="A1" s="1" t="s">
        <v>0</v>
      </c>
      <c r="B1" s="1"/>
      <c r="C1" s="1"/>
      <c r="D1" s="1"/>
      <c r="E1" s="1"/>
      <c r="F1" s="1"/>
      <c r="G1" s="9"/>
      <c r="H1" s="9"/>
      <c r="I1" s="9"/>
      <c r="J1" s="9"/>
      <c r="K1" s="9"/>
      <c r="L1" s="9"/>
    </row>
    <row r="2" ht="21.75" customHeight="1">
      <c r="A2" s="4" t="s">
        <v>183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0"/>
    </row>
    <row r="3" ht="18" customHeight="1">
      <c r="A3" s="11" t="s">
        <v>184</v>
      </c>
      <c r="B3" s="11" t="s">
        <v>185</v>
      </c>
      <c r="C3" s="11" t="s">
        <v>186</v>
      </c>
      <c r="D3" s="11" t="s">
        <v>187</v>
      </c>
      <c r="E3" s="11" t="s">
        <v>188</v>
      </c>
      <c r="F3" s="11" t="s">
        <v>57</v>
      </c>
      <c r="G3" s="11" t="s">
        <v>189</v>
      </c>
      <c r="H3" s="11" t="s">
        <v>190</v>
      </c>
      <c r="I3" s="11" t="s">
        <v>191</v>
      </c>
      <c r="J3" s="11" t="s">
        <v>192</v>
      </c>
      <c r="K3" s="11" t="s">
        <v>64</v>
      </c>
      <c r="L3" s="11" t="s">
        <v>65</v>
      </c>
    </row>
    <row r="4" ht="15" customHeight="1">
      <c r="A4" s="12" t="s">
        <v>193</v>
      </c>
      <c r="B4" s="13"/>
      <c r="C4" s="25"/>
      <c r="D4" s="13"/>
      <c r="E4" s="13"/>
      <c r="F4" s="13"/>
      <c r="G4" s="12" t="str">
        <f t="shared" ref="G4:G9" si="8">IF(C4&gt;0,E4*C4,"")</f>
        <v/>
      </c>
      <c r="H4" s="13"/>
      <c r="I4" s="13"/>
      <c r="J4" s="12" t="str">
        <f t="shared" ref="J4:J9" si="9">IF(H4&lt;&gt;"",H4-I4,"")</f>
        <v/>
      </c>
      <c r="K4" s="15" t="str">
        <f t="shared" ref="K4:K9" si="10">IF(F4="","",IF(AND(G4&gt;=F4*0.9,G4&lt;=F4*1.1),"✓ PASS","✗ FAIL"))</f>
        <v/>
      </c>
      <c r="L4" s="25"/>
    </row>
    <row r="5" ht="15" customHeight="1">
      <c r="A5" s="16" t="s">
        <v>194</v>
      </c>
      <c r="B5" s="13"/>
      <c r="C5" s="26"/>
      <c r="D5" s="13"/>
      <c r="E5" s="13"/>
      <c r="F5" s="13"/>
      <c r="G5" s="16" t="str">
        <f t="shared" si="8"/>
        <v/>
      </c>
      <c r="H5" s="13"/>
      <c r="I5" s="13"/>
      <c r="J5" s="16" t="str">
        <f t="shared" si="9"/>
        <v/>
      </c>
      <c r="K5" s="18" t="str">
        <f t="shared" si="10"/>
        <v/>
      </c>
      <c r="L5" s="26"/>
    </row>
    <row r="6" ht="15" customHeight="1">
      <c r="A6" s="12" t="s">
        <v>195</v>
      </c>
      <c r="B6" s="13"/>
      <c r="C6" s="25"/>
      <c r="D6" s="13"/>
      <c r="E6" s="13"/>
      <c r="F6" s="13"/>
      <c r="G6" s="12" t="str">
        <f t="shared" si="8"/>
        <v/>
      </c>
      <c r="H6" s="13"/>
      <c r="I6" s="13"/>
      <c r="J6" s="12" t="str">
        <f t="shared" si="9"/>
        <v/>
      </c>
      <c r="K6" s="15" t="str">
        <f t="shared" si="10"/>
        <v/>
      </c>
      <c r="L6" s="25"/>
    </row>
    <row r="7" ht="15" customHeight="1">
      <c r="A7" s="16" t="s">
        <v>196</v>
      </c>
      <c r="B7" s="13"/>
      <c r="C7" s="26"/>
      <c r="D7" s="13"/>
      <c r="E7" s="13"/>
      <c r="F7" s="13"/>
      <c r="G7" s="16" t="str">
        <f t="shared" si="8"/>
        <v/>
      </c>
      <c r="H7" s="13"/>
      <c r="I7" s="13"/>
      <c r="J7" s="16" t="str">
        <f t="shared" si="9"/>
        <v/>
      </c>
      <c r="K7" s="18" t="str">
        <f t="shared" si="10"/>
        <v/>
      </c>
      <c r="L7" s="26"/>
    </row>
    <row r="8" ht="15" customHeight="1">
      <c r="A8" s="12" t="s">
        <v>197</v>
      </c>
      <c r="B8" s="13"/>
      <c r="C8" s="25"/>
      <c r="D8" s="13"/>
      <c r="E8" s="13"/>
      <c r="F8" s="13"/>
      <c r="G8" s="12" t="str">
        <f t="shared" si="8"/>
        <v/>
      </c>
      <c r="H8" s="13"/>
      <c r="I8" s="13"/>
      <c r="J8" s="12" t="str">
        <f t="shared" si="9"/>
        <v/>
      </c>
      <c r="K8" s="15" t="str">
        <f t="shared" si="10"/>
        <v/>
      </c>
      <c r="L8" s="25"/>
    </row>
    <row r="9" ht="15" customHeight="1">
      <c r="A9" s="16" t="s">
        <v>198</v>
      </c>
      <c r="B9" s="13"/>
      <c r="C9" s="26"/>
      <c r="D9" s="13"/>
      <c r="E9" s="13"/>
      <c r="F9" s="13"/>
      <c r="G9" s="16" t="str">
        <f t="shared" si="8"/>
        <v/>
      </c>
      <c r="H9" s="13"/>
      <c r="I9" s="13"/>
      <c r="J9" s="16" t="str">
        <f t="shared" si="9"/>
        <v/>
      </c>
      <c r="K9" s="18" t="str">
        <f t="shared" si="10"/>
        <v/>
      </c>
      <c r="L9" s="26"/>
    </row>
    <row r="10" ht="15" customHeight="1">
      <c r="A10" s="12" t="s">
        <v>199</v>
      </c>
      <c r="B10" s="13"/>
      <c r="C10" s="25"/>
      <c r="D10" s="13"/>
      <c r="E10" s="13"/>
      <c r="F10" s="13"/>
      <c r="G10" s="12" t="str">
        <f t="shared" ref="G10:G18" si="11">IF(C10&gt;0,E10*C10,"")</f>
        <v/>
      </c>
      <c r="H10" s="13"/>
      <c r="I10" s="13"/>
      <c r="J10" s="12" t="str">
        <f t="shared" ref="J10:J18" si="12">IF(H10&lt;&gt;"",H10-I10,"")</f>
        <v/>
      </c>
      <c r="K10" s="15" t="str">
        <f t="shared" ref="K10:K18" si="13">IF(F10="","",IF(AND(G10&gt;=F10*0.9,G10&lt;=F10*1.1),"✓ PASS","✗ FAIL"))</f>
        <v/>
      </c>
      <c r="L10" s="25"/>
    </row>
    <row r="11" ht="15" customHeight="1">
      <c r="A11" s="16" t="s">
        <v>200</v>
      </c>
      <c r="B11" s="13"/>
      <c r="C11" s="26"/>
      <c r="D11" s="13"/>
      <c r="E11" s="13"/>
      <c r="F11" s="13"/>
      <c r="G11" s="16" t="str">
        <f t="shared" si="11"/>
        <v/>
      </c>
      <c r="H11" s="13"/>
      <c r="I11" s="13"/>
      <c r="J11" s="16" t="str">
        <f t="shared" si="12"/>
        <v/>
      </c>
      <c r="K11" s="18" t="str">
        <f t="shared" si="13"/>
        <v/>
      </c>
      <c r="L11" s="26"/>
    </row>
    <row r="12" ht="15" customHeight="1">
      <c r="A12" s="12" t="s">
        <v>201</v>
      </c>
      <c r="B12" s="13"/>
      <c r="C12" s="25"/>
      <c r="D12" s="13"/>
      <c r="E12" s="13"/>
      <c r="F12" s="13"/>
      <c r="G12" s="12" t="str">
        <f t="shared" si="11"/>
        <v/>
      </c>
      <c r="H12" s="13"/>
      <c r="I12" s="13"/>
      <c r="J12" s="12" t="str">
        <f t="shared" si="12"/>
        <v/>
      </c>
      <c r="K12" s="15" t="str">
        <f t="shared" si="13"/>
        <v/>
      </c>
      <c r="L12" s="25"/>
    </row>
    <row r="13" ht="15" customHeight="1">
      <c r="A13" s="16" t="s">
        <v>202</v>
      </c>
      <c r="B13" s="13"/>
      <c r="C13" s="26"/>
      <c r="D13" s="13"/>
      <c r="E13" s="13"/>
      <c r="F13" s="13"/>
      <c r="G13" s="16" t="str">
        <f t="shared" si="11"/>
        <v/>
      </c>
      <c r="H13" s="13"/>
      <c r="I13" s="13"/>
      <c r="J13" s="16" t="str">
        <f t="shared" si="12"/>
        <v/>
      </c>
      <c r="K13" s="18" t="str">
        <f t="shared" si="13"/>
        <v/>
      </c>
      <c r="L13" s="26"/>
    </row>
    <row r="14" ht="15" customHeight="1">
      <c r="A14" s="12" t="s">
        <v>203</v>
      </c>
      <c r="B14" s="13"/>
      <c r="C14" s="25"/>
      <c r="D14" s="13"/>
      <c r="E14" s="13"/>
      <c r="F14" s="13"/>
      <c r="G14" s="12" t="str">
        <f t="shared" si="11"/>
        <v/>
      </c>
      <c r="H14" s="13"/>
      <c r="I14" s="13"/>
      <c r="J14" s="12" t="str">
        <f t="shared" si="12"/>
        <v/>
      </c>
      <c r="K14" s="15" t="str">
        <f t="shared" si="13"/>
        <v/>
      </c>
      <c r="L14" s="25"/>
    </row>
    <row r="15" ht="15" customHeight="1">
      <c r="A15" s="16" t="s">
        <v>204</v>
      </c>
      <c r="B15" s="13"/>
      <c r="C15" s="26"/>
      <c r="D15" s="13"/>
      <c r="E15" s="13"/>
      <c r="F15" s="13"/>
      <c r="G15" s="16" t="str">
        <f t="shared" si="11"/>
        <v/>
      </c>
      <c r="H15" s="13"/>
      <c r="I15" s="13"/>
      <c r="J15" s="16" t="str">
        <f t="shared" si="12"/>
        <v/>
      </c>
      <c r="K15" s="18" t="str">
        <f t="shared" si="13"/>
        <v/>
      </c>
      <c r="L15" s="26"/>
    </row>
    <row r="16" ht="15" customHeight="1">
      <c r="A16" s="12" t="s">
        <v>205</v>
      </c>
      <c r="B16" s="13"/>
      <c r="C16" s="25"/>
      <c r="D16" s="13"/>
      <c r="E16" s="13"/>
      <c r="F16" s="13"/>
      <c r="G16" s="12" t="str">
        <f t="shared" si="11"/>
        <v/>
      </c>
      <c r="H16" s="13"/>
      <c r="I16" s="13"/>
      <c r="J16" s="12" t="str">
        <f t="shared" si="12"/>
        <v/>
      </c>
      <c r="K16" s="15" t="str">
        <f t="shared" si="13"/>
        <v/>
      </c>
      <c r="L16" s="25"/>
    </row>
    <row r="17" ht="15" customHeight="1">
      <c r="A17" s="16" t="s">
        <v>206</v>
      </c>
      <c r="B17" s="13"/>
      <c r="C17" s="26"/>
      <c r="D17" s="13"/>
      <c r="E17" s="13"/>
      <c r="F17" s="13"/>
      <c r="G17" s="16" t="str">
        <f t="shared" si="11"/>
        <v/>
      </c>
      <c r="H17" s="13"/>
      <c r="I17" s="13"/>
      <c r="J17" s="16" t="str">
        <f t="shared" si="12"/>
        <v/>
      </c>
      <c r="K17" s="18" t="str">
        <f t="shared" si="13"/>
        <v/>
      </c>
      <c r="L17" s="26"/>
    </row>
    <row r="18" ht="15" customHeight="1">
      <c r="A18" s="12" t="s">
        <v>207</v>
      </c>
      <c r="B18" s="13"/>
      <c r="C18" s="25"/>
      <c r="D18" s="13"/>
      <c r="E18" s="13"/>
      <c r="F18" s="13"/>
      <c r="G18" s="12" t="str">
        <f t="shared" si="11"/>
        <v/>
      </c>
      <c r="H18" s="13"/>
      <c r="I18" s="13"/>
      <c r="J18" s="12" t="str">
        <f t="shared" si="12"/>
        <v/>
      </c>
      <c r="K18" s="15" t="str">
        <f t="shared" si="13"/>
        <v/>
      </c>
      <c r="L18" s="25"/>
    </row>
    <row r="19" ht="4.5" customHeight="1"/>
    <row r="20" ht="18" customHeight="1">
      <c r="A20" s="8" t="s">
        <v>52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</sheetData>
  <mergeCells count="4">
    <mergeCell ref="A1:F1"/>
    <mergeCell ref="G1:L1"/>
    <mergeCell ref="A2:L2"/>
    <mergeCell ref="A20:L20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20"/>
    <col customWidth="1" min="2" max="2" style="0" width="14"/>
    <col customWidth="1" min="3" max="8" style="0" width="12"/>
    <col customWidth="1" min="9" max="9" style="0" width="10"/>
    <col customWidth="1" min="10" max="10" style="0" width="12"/>
    <col customWidth="1" min="11" max="11" style="0" width="10"/>
    <col customWidth="1" min="12" max="12" style="0" width="14"/>
  </cols>
  <sheetData>
    <row r="1" ht="30" customHeight="1">
      <c r="A1" s="1" t="s">
        <v>0</v>
      </c>
      <c r="B1" s="1"/>
      <c r="C1" s="1"/>
      <c r="D1" s="1"/>
      <c r="E1" s="1"/>
      <c r="F1" s="1"/>
      <c r="G1" s="9"/>
      <c r="H1" s="9"/>
      <c r="I1" s="9"/>
      <c r="J1" s="9"/>
      <c r="K1" s="9"/>
      <c r="L1" s="9"/>
    </row>
    <row r="2" ht="21.75" customHeight="1">
      <c r="A2" s="4" t="s">
        <v>208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0"/>
    </row>
    <row r="3" ht="18" customHeight="1">
      <c r="A3" s="11" t="s">
        <v>209</v>
      </c>
      <c r="B3" s="11" t="s">
        <v>55</v>
      </c>
      <c r="C3" s="11" t="s">
        <v>210</v>
      </c>
      <c r="D3" s="11" t="s">
        <v>211</v>
      </c>
      <c r="E3" s="11" t="s">
        <v>59</v>
      </c>
      <c r="F3" s="11" t="s">
        <v>212</v>
      </c>
      <c r="G3" s="11" t="s">
        <v>213</v>
      </c>
      <c r="H3" s="11" t="s">
        <v>214</v>
      </c>
      <c r="I3" s="11" t="s">
        <v>215</v>
      </c>
      <c r="J3" s="11" t="s">
        <v>216</v>
      </c>
      <c r="K3" s="11" t="s">
        <v>64</v>
      </c>
      <c r="L3" s="11" t="s">
        <v>65</v>
      </c>
    </row>
    <row r="4" ht="15" customHeight="1">
      <c r="A4" s="12" t="s">
        <v>217</v>
      </c>
      <c r="B4" s="25"/>
      <c r="C4" s="13"/>
      <c r="D4" s="13"/>
      <c r="E4" s="25" t="str">
        <f t="shared" ref="E4:E9" si="14">IF(C4&gt;0,D4/C4*100,"")</f>
        <v/>
      </c>
      <c r="F4" s="13"/>
      <c r="G4" s="13"/>
      <c r="H4" s="25" t="str">
        <f t="shared" ref="H4:H9" si="15">IF(G4&lt;&gt;"",G4-F4,"")</f>
        <v/>
      </c>
      <c r="I4" s="13"/>
      <c r="J4" s="13"/>
      <c r="K4" s="15" t="str">
        <f t="shared" ref="K4:K9" si="16">IF(C4="","",IF(AND(E4&gt;=90,E4&lt;=110),"✓ PASS","✗ FAIL"))</f>
        <v/>
      </c>
      <c r="L4" s="25"/>
    </row>
    <row r="5" ht="15" customHeight="1">
      <c r="A5" s="16" t="s">
        <v>218</v>
      </c>
      <c r="B5" s="26"/>
      <c r="C5" s="13"/>
      <c r="D5" s="13"/>
      <c r="E5" s="26" t="str">
        <f t="shared" si="14"/>
        <v/>
      </c>
      <c r="F5" s="13"/>
      <c r="G5" s="13"/>
      <c r="H5" s="26" t="str">
        <f t="shared" si="15"/>
        <v/>
      </c>
      <c r="I5" s="13"/>
      <c r="J5" s="13"/>
      <c r="K5" s="18" t="str">
        <f t="shared" si="16"/>
        <v/>
      </c>
      <c r="L5" s="26"/>
    </row>
    <row r="6" ht="15" customHeight="1">
      <c r="A6" s="12" t="s">
        <v>219</v>
      </c>
      <c r="B6" s="25"/>
      <c r="C6" s="13"/>
      <c r="D6" s="13"/>
      <c r="E6" s="25" t="str">
        <f t="shared" si="14"/>
        <v/>
      </c>
      <c r="F6" s="13"/>
      <c r="G6" s="13"/>
      <c r="H6" s="25" t="str">
        <f t="shared" si="15"/>
        <v/>
      </c>
      <c r="I6" s="13"/>
      <c r="J6" s="13"/>
      <c r="K6" s="15" t="str">
        <f t="shared" si="16"/>
        <v/>
      </c>
      <c r="L6" s="25"/>
    </row>
    <row r="7" ht="15" customHeight="1">
      <c r="A7" s="16" t="s">
        <v>220</v>
      </c>
      <c r="B7" s="26"/>
      <c r="C7" s="13"/>
      <c r="D7" s="13"/>
      <c r="E7" s="26" t="str">
        <f t="shared" si="14"/>
        <v/>
      </c>
      <c r="F7" s="13"/>
      <c r="G7" s="13"/>
      <c r="H7" s="26" t="str">
        <f t="shared" si="15"/>
        <v/>
      </c>
      <c r="I7" s="13"/>
      <c r="J7" s="13"/>
      <c r="K7" s="18" t="str">
        <f t="shared" si="16"/>
        <v/>
      </c>
      <c r="L7" s="26"/>
    </row>
    <row r="8" ht="15" customHeight="1">
      <c r="A8" s="12" t="s">
        <v>221</v>
      </c>
      <c r="B8" s="25"/>
      <c r="C8" s="13"/>
      <c r="D8" s="13"/>
      <c r="E8" s="25" t="str">
        <f t="shared" si="14"/>
        <v/>
      </c>
      <c r="F8" s="13"/>
      <c r="G8" s="13"/>
      <c r="H8" s="25" t="str">
        <f t="shared" si="15"/>
        <v/>
      </c>
      <c r="I8" s="13"/>
      <c r="J8" s="13"/>
      <c r="K8" s="15" t="str">
        <f t="shared" si="16"/>
        <v/>
      </c>
      <c r="L8" s="25"/>
    </row>
    <row r="9" ht="15" customHeight="1">
      <c r="A9" s="16" t="s">
        <v>222</v>
      </c>
      <c r="B9" s="26"/>
      <c r="C9" s="13"/>
      <c r="D9" s="13"/>
      <c r="E9" s="26" t="str">
        <f t="shared" si="14"/>
        <v/>
      </c>
      <c r="F9" s="13"/>
      <c r="G9" s="13"/>
      <c r="H9" s="26" t="str">
        <f t="shared" si="15"/>
        <v/>
      </c>
      <c r="I9" s="13"/>
      <c r="J9" s="13"/>
      <c r="K9" s="18" t="str">
        <f t="shared" si="16"/>
        <v/>
      </c>
      <c r="L9" s="26"/>
    </row>
    <row r="10" ht="15" customHeight="1">
      <c r="A10" s="12" t="s">
        <v>223</v>
      </c>
      <c r="B10" s="25"/>
      <c r="C10" s="13"/>
      <c r="D10" s="13"/>
      <c r="E10" s="25" t="str">
        <f t="shared" ref="E10:E20" si="17">IF(C10&gt;0,D10/C10*100,"")</f>
        <v/>
      </c>
      <c r="F10" s="13"/>
      <c r="G10" s="13"/>
      <c r="H10" s="25" t="str">
        <f t="shared" ref="H10:H19" si="18">IF(G10&lt;&gt;"",G10-F10,"")</f>
        <v/>
      </c>
      <c r="I10" s="13"/>
      <c r="J10" s="13"/>
      <c r="K10" s="15" t="str">
        <f t="shared" ref="K10:K19" si="19">IF(C10="","",IF(AND(E10&gt;=90,E10&lt;=110),"✓ PASS","✗ FAIL"))</f>
        <v/>
      </c>
      <c r="L10" s="25"/>
    </row>
    <row r="11" ht="15" customHeight="1">
      <c r="A11" s="16" t="s">
        <v>224</v>
      </c>
      <c r="B11" s="26"/>
      <c r="C11" s="13"/>
      <c r="D11" s="13"/>
      <c r="E11" s="26" t="str">
        <f t="shared" si="17"/>
        <v/>
      </c>
      <c r="F11" s="13"/>
      <c r="G11" s="13"/>
      <c r="H11" s="26" t="str">
        <f t="shared" si="18"/>
        <v/>
      </c>
      <c r="I11" s="13"/>
      <c r="J11" s="13"/>
      <c r="K11" s="18" t="str">
        <f t="shared" si="19"/>
        <v/>
      </c>
      <c r="L11" s="26"/>
    </row>
    <row r="12" ht="15" customHeight="1">
      <c r="A12" s="12" t="s">
        <v>225</v>
      </c>
      <c r="B12" s="25"/>
      <c r="C12" s="13"/>
      <c r="D12" s="13"/>
      <c r="E12" s="25" t="str">
        <f t="shared" si="17"/>
        <v/>
      </c>
      <c r="F12" s="13"/>
      <c r="G12" s="13"/>
      <c r="H12" s="25" t="str">
        <f t="shared" si="18"/>
        <v/>
      </c>
      <c r="I12" s="13"/>
      <c r="J12" s="13"/>
      <c r="K12" s="15" t="str">
        <f t="shared" si="19"/>
        <v/>
      </c>
      <c r="L12" s="25"/>
    </row>
    <row r="13" ht="15" customHeight="1">
      <c r="A13" s="16" t="s">
        <v>226</v>
      </c>
      <c r="B13" s="26"/>
      <c r="C13" s="13"/>
      <c r="D13" s="13"/>
      <c r="E13" s="26" t="str">
        <f t="shared" si="17"/>
        <v/>
      </c>
      <c r="F13" s="13"/>
      <c r="G13" s="13"/>
      <c r="H13" s="26" t="str">
        <f t="shared" si="18"/>
        <v/>
      </c>
      <c r="I13" s="13"/>
      <c r="J13" s="13"/>
      <c r="K13" s="18" t="str">
        <f t="shared" si="19"/>
        <v/>
      </c>
      <c r="L13" s="26"/>
    </row>
    <row r="14" ht="15" customHeight="1">
      <c r="A14" s="12" t="s">
        <v>227</v>
      </c>
      <c r="B14" s="25"/>
      <c r="C14" s="13"/>
      <c r="D14" s="13"/>
      <c r="E14" s="25" t="str">
        <f t="shared" si="17"/>
        <v/>
      </c>
      <c r="F14" s="13"/>
      <c r="G14" s="13"/>
      <c r="H14" s="25" t="str">
        <f t="shared" si="18"/>
        <v/>
      </c>
      <c r="I14" s="13"/>
      <c r="J14" s="13"/>
      <c r="K14" s="15" t="str">
        <f t="shared" si="19"/>
        <v/>
      </c>
      <c r="L14" s="25"/>
    </row>
    <row r="15" ht="15" customHeight="1">
      <c r="A15" s="16" t="s">
        <v>228</v>
      </c>
      <c r="B15" s="26"/>
      <c r="C15" s="13"/>
      <c r="D15" s="13"/>
      <c r="E15" s="26" t="str">
        <f t="shared" si="17"/>
        <v/>
      </c>
      <c r="F15" s="13"/>
      <c r="G15" s="13"/>
      <c r="H15" s="26" t="str">
        <f t="shared" si="18"/>
        <v/>
      </c>
      <c r="I15" s="13"/>
      <c r="J15" s="13"/>
      <c r="K15" s="18" t="str">
        <f t="shared" si="19"/>
        <v/>
      </c>
      <c r="L15" s="26"/>
    </row>
    <row r="16" ht="15" customHeight="1">
      <c r="A16" s="12" t="s">
        <v>229</v>
      </c>
      <c r="B16" s="25"/>
      <c r="C16" s="13"/>
      <c r="D16" s="13"/>
      <c r="E16" s="25" t="str">
        <f t="shared" si="17"/>
        <v/>
      </c>
      <c r="F16" s="13"/>
      <c r="G16" s="13"/>
      <c r="H16" s="25" t="str">
        <f t="shared" si="18"/>
        <v/>
      </c>
      <c r="I16" s="13"/>
      <c r="J16" s="13"/>
      <c r="K16" s="15" t="str">
        <f t="shared" si="19"/>
        <v/>
      </c>
      <c r="L16" s="25"/>
    </row>
    <row r="17" ht="15" customHeight="1">
      <c r="A17" s="16" t="s">
        <v>230</v>
      </c>
      <c r="B17" s="26"/>
      <c r="C17" s="13"/>
      <c r="D17" s="13"/>
      <c r="E17" s="26" t="str">
        <f t="shared" si="17"/>
        <v/>
      </c>
      <c r="F17" s="13"/>
      <c r="G17" s="13"/>
      <c r="H17" s="26" t="str">
        <f t="shared" si="18"/>
        <v/>
      </c>
      <c r="I17" s="13"/>
      <c r="J17" s="13"/>
      <c r="K17" s="18" t="str">
        <f t="shared" si="19"/>
        <v/>
      </c>
      <c r="L17" s="26"/>
    </row>
    <row r="18" ht="15" customHeight="1">
      <c r="A18" s="12" t="s">
        <v>231</v>
      </c>
      <c r="B18" s="25"/>
      <c r="C18" s="13"/>
      <c r="D18" s="13"/>
      <c r="E18" s="25" t="str">
        <f t="shared" si="17"/>
        <v/>
      </c>
      <c r="F18" s="13"/>
      <c r="G18" s="13"/>
      <c r="H18" s="25" t="str">
        <f t="shared" si="18"/>
        <v/>
      </c>
      <c r="I18" s="13"/>
      <c r="J18" s="13"/>
      <c r="K18" s="15" t="str">
        <f t="shared" si="19"/>
        <v/>
      </c>
      <c r="L18" s="25"/>
    </row>
    <row r="19" ht="15" customHeight="1">
      <c r="A19" s="16" t="s">
        <v>232</v>
      </c>
      <c r="B19" s="26"/>
      <c r="C19" s="13"/>
      <c r="D19" s="13"/>
      <c r="E19" s="26" t="str">
        <f t="shared" si="17"/>
        <v/>
      </c>
      <c r="F19" s="13"/>
      <c r="G19" s="13"/>
      <c r="H19" s="26" t="str">
        <f t="shared" si="18"/>
        <v/>
      </c>
      <c r="I19" s="13"/>
      <c r="J19" s="13"/>
      <c r="K19" s="18" t="str">
        <f t="shared" si="19"/>
        <v/>
      </c>
      <c r="L19" s="26"/>
    </row>
    <row r="20" ht="16.5" customHeight="1">
      <c r="A20" s="19" t="s">
        <v>87</v>
      </c>
      <c r="B20" s="19"/>
      <c r="C20" s="19">
        <f>SUM(C4:C19)</f>
        <v>0</v>
      </c>
      <c r="D20" s="19">
        <f>SUM(D4:D19)</f>
        <v>0</v>
      </c>
      <c r="E20" s="19" t="str">
        <f t="shared" si="17"/>
        <v/>
      </c>
      <c r="F20" s="19"/>
      <c r="G20" s="19"/>
      <c r="H20" s="19"/>
      <c r="I20" s="19"/>
      <c r="J20" s="19"/>
      <c r="K20" s="19"/>
      <c r="L20" s="19"/>
    </row>
    <row r="21" ht="4.5" customHeight="1"/>
    <row r="22" ht="18" customHeight="1">
      <c r="A22" s="8" t="s">
        <v>52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</sheetData>
  <mergeCells count="4">
    <mergeCell ref="A1:F1"/>
    <mergeCell ref="G1:L1"/>
    <mergeCell ref="A2:L2"/>
    <mergeCell ref="A22:L2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40"/>
    <col customWidth="1" min="2" max="3" style="0" width="10"/>
    <col customWidth="1" min="4" max="4" style="0" width="8"/>
    <col customWidth="1" min="5" max="5" style="0" width="28"/>
  </cols>
  <sheetData>
    <row r="1" ht="30" customHeight="1">
      <c r="A1" s="1" t="s">
        <v>0</v>
      </c>
      <c r="B1" s="1"/>
      <c r="C1" s="1"/>
      <c r="D1" s="10"/>
      <c r="E1" s="10"/>
      <c r="F1" s="2" t="s">
        <v>1</v>
      </c>
      <c r="G1" s="9"/>
      <c r="H1" s="9"/>
      <c r="I1" s="9"/>
      <c r="J1" s="9"/>
      <c r="K1" s="9"/>
      <c r="L1" s="9"/>
    </row>
    <row r="2" ht="21.75" customHeight="1">
      <c r="A2" s="4" t="s">
        <v>233</v>
      </c>
      <c r="B2" s="4"/>
      <c r="C2" s="4"/>
      <c r="D2" s="4"/>
      <c r="E2" s="4"/>
      <c r="F2" s="10"/>
      <c r="G2" s="10"/>
      <c r="H2" s="10"/>
      <c r="I2" s="10"/>
      <c r="J2" s="10"/>
      <c r="K2" s="10"/>
      <c r="L2" s="10"/>
      <c r="M2" s="10"/>
    </row>
    <row r="3" ht="18" customHeight="1">
      <c r="A3" s="11" t="s">
        <v>234</v>
      </c>
      <c r="B3" s="11" t="s">
        <v>235</v>
      </c>
      <c r="C3" s="11" t="s">
        <v>236</v>
      </c>
      <c r="D3" s="11" t="s">
        <v>237</v>
      </c>
      <c r="E3" s="11" t="s">
        <v>238</v>
      </c>
    </row>
    <row r="4" ht="16.5" customHeight="1">
      <c r="A4" s="28" t="s">
        <v>239</v>
      </c>
      <c r="B4" s="28"/>
      <c r="C4" s="28"/>
      <c r="D4" s="28"/>
      <c r="E4" s="28"/>
    </row>
    <row r="5" ht="15" customHeight="1">
      <c r="A5" s="29" t="s">
        <v>240</v>
      </c>
      <c r="B5" s="30" t="s">
        <v>241</v>
      </c>
      <c r="C5" s="30" t="s">
        <v>241</v>
      </c>
      <c r="D5" s="30" t="s">
        <v>241</v>
      </c>
      <c r="E5" s="7"/>
    </row>
    <row r="6" ht="15" customHeight="1">
      <c r="A6" s="31" t="s">
        <v>242</v>
      </c>
      <c r="B6" s="30" t="s">
        <v>241</v>
      </c>
      <c r="C6" s="30" t="s">
        <v>241</v>
      </c>
      <c r="D6" s="30" t="s">
        <v>241</v>
      </c>
      <c r="E6" s="7"/>
    </row>
    <row r="7" ht="15" customHeight="1">
      <c r="A7" s="29" t="s">
        <v>243</v>
      </c>
      <c r="B7" s="30" t="s">
        <v>241</v>
      </c>
      <c r="C7" s="30" t="s">
        <v>241</v>
      </c>
      <c r="D7" s="30" t="s">
        <v>241</v>
      </c>
      <c r="E7" s="7"/>
    </row>
    <row r="8" ht="15" customHeight="1">
      <c r="A8" s="31" t="s">
        <v>244</v>
      </c>
      <c r="B8" s="30" t="s">
        <v>241</v>
      </c>
      <c r="C8" s="30" t="s">
        <v>241</v>
      </c>
      <c r="D8" s="30" t="s">
        <v>241</v>
      </c>
      <c r="E8" s="7"/>
    </row>
    <row r="9" ht="15" customHeight="1">
      <c r="A9" s="29" t="s">
        <v>245</v>
      </c>
      <c r="B9" s="30" t="s">
        <v>241</v>
      </c>
      <c r="C9" s="30" t="s">
        <v>241</v>
      </c>
      <c r="D9" s="30" t="s">
        <v>241</v>
      </c>
      <c r="E9" s="7"/>
    </row>
    <row r="10" ht="15" customHeight="1">
      <c r="A10" s="31" t="s">
        <v>246</v>
      </c>
      <c r="B10" s="30" t="s">
        <v>241</v>
      </c>
      <c r="C10" s="30" t="s">
        <v>241</v>
      </c>
      <c r="D10" s="30" t="s">
        <v>241</v>
      </c>
      <c r="E10" s="7"/>
    </row>
    <row r="11" ht="15" customHeight="1">
      <c r="A11" s="29" t="s">
        <v>247</v>
      </c>
      <c r="B11" s="30" t="s">
        <v>241</v>
      </c>
      <c r="C11" s="30" t="s">
        <v>241</v>
      </c>
      <c r="D11" s="30" t="s">
        <v>241</v>
      </c>
      <c r="E11" s="7"/>
    </row>
    <row r="12" ht="15" customHeight="1">
      <c r="A12" s="31" t="s">
        <v>248</v>
      </c>
      <c r="B12" s="30" t="s">
        <v>241</v>
      </c>
      <c r="C12" s="30" t="s">
        <v>241</v>
      </c>
      <c r="D12" s="30" t="s">
        <v>241</v>
      </c>
      <c r="E12" s="7"/>
    </row>
    <row r="13" ht="15" customHeight="1">
      <c r="A13" s="29" t="s">
        <v>249</v>
      </c>
      <c r="B13" s="30" t="s">
        <v>241</v>
      </c>
      <c r="C13" s="30" t="s">
        <v>241</v>
      </c>
      <c r="D13" s="30" t="s">
        <v>241</v>
      </c>
      <c r="E13" s="7"/>
    </row>
    <row r="14" ht="15" customHeight="1">
      <c r="A14" s="31" t="s">
        <v>250</v>
      </c>
      <c r="B14" s="30" t="s">
        <v>241</v>
      </c>
      <c r="C14" s="30" t="s">
        <v>241</v>
      </c>
      <c r="D14" s="30" t="s">
        <v>241</v>
      </c>
      <c r="E14" s="7"/>
    </row>
    <row r="15" ht="15" customHeight="1">
      <c r="A15" s="29" t="s">
        <v>251</v>
      </c>
      <c r="B15" s="30" t="s">
        <v>241</v>
      </c>
      <c r="C15" s="30" t="s">
        <v>241</v>
      </c>
      <c r="D15" s="30" t="s">
        <v>241</v>
      </c>
      <c r="E15" s="7"/>
    </row>
    <row r="16" ht="15" customHeight="1">
      <c r="A16" s="31" t="s">
        <v>252</v>
      </c>
      <c r="B16" s="30" t="s">
        <v>241</v>
      </c>
      <c r="C16" s="30" t="s">
        <v>241</v>
      </c>
      <c r="D16" s="30" t="s">
        <v>241</v>
      </c>
      <c r="E16" s="7"/>
    </row>
    <row r="17" ht="3.75" customHeight="1"/>
    <row r="18" ht="16.5" customHeight="1">
      <c r="A18" s="28" t="s">
        <v>253</v>
      </c>
      <c r="B18" s="28"/>
      <c r="C18" s="28"/>
      <c r="D18" s="28"/>
      <c r="E18" s="28"/>
    </row>
    <row r="19" ht="15" customHeight="1">
      <c r="A19" s="29" t="s">
        <v>254</v>
      </c>
      <c r="B19" s="30" t="s">
        <v>241</v>
      </c>
      <c r="C19" s="30" t="s">
        <v>241</v>
      </c>
      <c r="D19" s="30" t="s">
        <v>241</v>
      </c>
      <c r="E19" s="7"/>
    </row>
    <row r="20" ht="15" customHeight="1">
      <c r="A20" s="31" t="s">
        <v>255</v>
      </c>
      <c r="B20" s="30" t="s">
        <v>241</v>
      </c>
      <c r="C20" s="30" t="s">
        <v>241</v>
      </c>
      <c r="D20" s="30" t="s">
        <v>241</v>
      </c>
      <c r="E20" s="7"/>
    </row>
    <row r="21" ht="15" customHeight="1">
      <c r="A21" s="29" t="s">
        <v>256</v>
      </c>
      <c r="B21" s="30" t="s">
        <v>241</v>
      </c>
      <c r="C21" s="30" t="s">
        <v>241</v>
      </c>
      <c r="D21" s="30" t="s">
        <v>241</v>
      </c>
      <c r="E21" s="7"/>
    </row>
    <row r="22" ht="15" customHeight="1">
      <c r="A22" s="31" t="s">
        <v>257</v>
      </c>
      <c r="B22" s="30" t="s">
        <v>241</v>
      </c>
      <c r="C22" s="30" t="s">
        <v>241</v>
      </c>
      <c r="D22" s="30" t="s">
        <v>241</v>
      </c>
      <c r="E22" s="7"/>
    </row>
    <row r="23" ht="15" customHeight="1">
      <c r="A23" s="29" t="s">
        <v>258</v>
      </c>
      <c r="B23" s="30" t="s">
        <v>241</v>
      </c>
      <c r="C23" s="30" t="s">
        <v>241</v>
      </c>
      <c r="D23" s="30" t="s">
        <v>241</v>
      </c>
      <c r="E23" s="7"/>
    </row>
    <row r="24" ht="15" customHeight="1">
      <c r="A24" s="31" t="s">
        <v>259</v>
      </c>
      <c r="B24" s="30" t="s">
        <v>241</v>
      </c>
      <c r="C24" s="30" t="s">
        <v>241</v>
      </c>
      <c r="D24" s="30" t="s">
        <v>241</v>
      </c>
      <c r="E24" s="7"/>
    </row>
    <row r="25" ht="3.75" customHeight="1"/>
    <row r="26" ht="16.5" customHeight="1">
      <c r="A26" s="28" t="s">
        <v>260</v>
      </c>
      <c r="B26" s="28"/>
      <c r="C26" s="28"/>
      <c r="D26" s="28"/>
      <c r="E26" s="28"/>
    </row>
    <row r="27" ht="15" customHeight="1">
      <c r="A27" s="29" t="s">
        <v>261</v>
      </c>
      <c r="B27" s="30" t="s">
        <v>241</v>
      </c>
      <c r="C27" s="30" t="s">
        <v>241</v>
      </c>
      <c r="D27" s="30" t="s">
        <v>241</v>
      </c>
      <c r="E27" s="7"/>
    </row>
    <row r="28" ht="15" customHeight="1">
      <c r="A28" s="31" t="s">
        <v>262</v>
      </c>
      <c r="B28" s="30" t="s">
        <v>241</v>
      </c>
      <c r="C28" s="30" t="s">
        <v>241</v>
      </c>
      <c r="D28" s="30" t="s">
        <v>241</v>
      </c>
      <c r="E28" s="7"/>
    </row>
    <row r="29" ht="15" customHeight="1">
      <c r="A29" s="29" t="s">
        <v>263</v>
      </c>
      <c r="B29" s="30" t="s">
        <v>241</v>
      </c>
      <c r="C29" s="30" t="s">
        <v>241</v>
      </c>
      <c r="D29" s="30" t="s">
        <v>241</v>
      </c>
      <c r="E29" s="7"/>
    </row>
    <row r="30" ht="15" customHeight="1">
      <c r="A30" s="31" t="s">
        <v>264</v>
      </c>
      <c r="B30" s="30" t="s">
        <v>241</v>
      </c>
      <c r="C30" s="30" t="s">
        <v>241</v>
      </c>
      <c r="D30" s="30" t="s">
        <v>241</v>
      </c>
      <c r="E30" s="7"/>
    </row>
    <row r="31" ht="15" customHeight="1">
      <c r="A31" s="29" t="s">
        <v>265</v>
      </c>
      <c r="B31" s="30" t="s">
        <v>241</v>
      </c>
      <c r="C31" s="30" t="s">
        <v>241</v>
      </c>
      <c r="D31" s="30" t="s">
        <v>241</v>
      </c>
      <c r="E31" s="7"/>
    </row>
    <row r="32" ht="15" customHeight="1">
      <c r="A32" s="31" t="s">
        <v>266</v>
      </c>
      <c r="B32" s="30" t="s">
        <v>241</v>
      </c>
      <c r="C32" s="30" t="s">
        <v>241</v>
      </c>
      <c r="D32" s="30" t="s">
        <v>241</v>
      </c>
      <c r="E32" s="7"/>
    </row>
    <row r="33" ht="15" customHeight="1">
      <c r="A33" s="29" t="s">
        <v>267</v>
      </c>
      <c r="B33" s="30" t="s">
        <v>241</v>
      </c>
      <c r="C33" s="30" t="s">
        <v>241</v>
      </c>
      <c r="D33" s="30" t="s">
        <v>241</v>
      </c>
      <c r="E33" s="7"/>
    </row>
    <row r="34" ht="3.75" customHeight="1"/>
    <row r="35" ht="16.5" customHeight="1">
      <c r="A35" s="28" t="s">
        <v>268</v>
      </c>
      <c r="B35" s="28"/>
      <c r="C35" s="28"/>
      <c r="D35" s="28"/>
      <c r="E35" s="28"/>
    </row>
    <row r="36" ht="15" customHeight="1">
      <c r="A36" s="29" t="s">
        <v>269</v>
      </c>
      <c r="B36" s="30" t="s">
        <v>241</v>
      </c>
      <c r="C36" s="30" t="s">
        <v>241</v>
      </c>
      <c r="D36" s="30" t="s">
        <v>241</v>
      </c>
      <c r="E36" s="7"/>
    </row>
    <row r="37" ht="15" customHeight="1">
      <c r="A37" s="31" t="s">
        <v>270</v>
      </c>
      <c r="B37" s="30" t="s">
        <v>241</v>
      </c>
      <c r="C37" s="30" t="s">
        <v>241</v>
      </c>
      <c r="D37" s="30" t="s">
        <v>241</v>
      </c>
      <c r="E37" s="7"/>
    </row>
    <row r="38" ht="15" customHeight="1">
      <c r="A38" s="29" t="s">
        <v>271</v>
      </c>
      <c r="B38" s="30" t="s">
        <v>241</v>
      </c>
      <c r="C38" s="30" t="s">
        <v>241</v>
      </c>
      <c r="D38" s="30" t="s">
        <v>241</v>
      </c>
      <c r="E38" s="7"/>
    </row>
    <row r="39" ht="15" customHeight="1">
      <c r="A39" s="31" t="s">
        <v>272</v>
      </c>
      <c r="B39" s="30" t="s">
        <v>241</v>
      </c>
      <c r="C39" s="30" t="s">
        <v>241</v>
      </c>
      <c r="D39" s="30" t="s">
        <v>241</v>
      </c>
      <c r="E39" s="7"/>
    </row>
    <row r="40" ht="15" customHeight="1">
      <c r="A40" s="29" t="s">
        <v>273</v>
      </c>
      <c r="B40" s="30" t="s">
        <v>241</v>
      </c>
      <c r="C40" s="30" t="s">
        <v>241</v>
      </c>
      <c r="D40" s="30" t="s">
        <v>241</v>
      </c>
      <c r="E40" s="7"/>
    </row>
    <row r="41" ht="15" customHeight="1">
      <c r="A41" s="31" t="s">
        <v>274</v>
      </c>
      <c r="B41" s="30" t="s">
        <v>241</v>
      </c>
      <c r="C41" s="30" t="s">
        <v>241</v>
      </c>
      <c r="D41" s="30" t="s">
        <v>241</v>
      </c>
      <c r="E41" s="7"/>
    </row>
    <row r="42" ht="15" customHeight="1">
      <c r="A42" s="29" t="s">
        <v>275</v>
      </c>
      <c r="B42" s="30" t="s">
        <v>241</v>
      </c>
      <c r="C42" s="30" t="s">
        <v>241</v>
      </c>
      <c r="D42" s="30" t="s">
        <v>241</v>
      </c>
      <c r="E42" s="7"/>
    </row>
    <row r="43" ht="15" customHeight="1">
      <c r="A43" s="31" t="s">
        <v>276</v>
      </c>
      <c r="B43" s="30" t="s">
        <v>241</v>
      </c>
      <c r="C43" s="30" t="s">
        <v>241</v>
      </c>
      <c r="D43" s="30" t="s">
        <v>241</v>
      </c>
      <c r="E43" s="7"/>
    </row>
    <row r="44" ht="15" customHeight="1">
      <c r="A44" s="29" t="s">
        <v>277</v>
      </c>
      <c r="B44" s="30" t="s">
        <v>241</v>
      </c>
      <c r="C44" s="30" t="s">
        <v>241</v>
      </c>
      <c r="D44" s="30" t="s">
        <v>241</v>
      </c>
      <c r="E44" s="7"/>
    </row>
    <row r="45" ht="15" customHeight="1">
      <c r="A45" s="31" t="s">
        <v>278</v>
      </c>
      <c r="B45" s="30" t="s">
        <v>241</v>
      </c>
      <c r="C45" s="30" t="s">
        <v>241</v>
      </c>
      <c r="D45" s="30" t="s">
        <v>241</v>
      </c>
      <c r="E45" s="7"/>
    </row>
    <row r="46" ht="3.75" customHeight="1"/>
    <row r="47" ht="18" customHeight="1">
      <c r="A47" s="8" t="s">
        <v>52</v>
      </c>
      <c r="B47" s="8"/>
      <c r="C47" s="8"/>
      <c r="D47" s="8"/>
      <c r="E47" s="8"/>
      <c r="F47" s="24"/>
      <c r="G47" s="24"/>
      <c r="H47" s="24"/>
      <c r="I47" s="24"/>
      <c r="J47" s="24"/>
      <c r="K47" s="24"/>
      <c r="L47" s="24"/>
    </row>
  </sheetData>
  <mergeCells count="4">
    <mergeCell ref="A1:C1"/>
    <mergeCell ref="D1:E1"/>
    <mergeCell ref="A2:E2"/>
    <mergeCell ref="A47:E4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8"/>
    <col customWidth="1" min="2" max="2" style="0" width="18"/>
    <col customWidth="1" min="3" max="3" style="0" width="28"/>
    <col customWidth="1" min="4" max="4" style="0" width="18"/>
    <col customWidth="1" min="5" max="6" style="0" width="12"/>
    <col customWidth="1" min="7" max="7" style="0" width="14"/>
    <col customWidth="1" min="8" max="8" style="0" width="10"/>
  </cols>
  <sheetData>
    <row r="1" ht="30" customHeight="1">
      <c r="A1" s="1" t="s">
        <v>0</v>
      </c>
      <c r="B1" s="1"/>
      <c r="C1" s="1"/>
      <c r="D1" s="1"/>
      <c r="E1" s="10"/>
      <c r="F1" s="10"/>
      <c r="G1" s="10"/>
      <c r="H1" s="10"/>
      <c r="I1" s="9"/>
      <c r="J1" s="9"/>
      <c r="K1" s="9"/>
      <c r="L1" s="9"/>
    </row>
    <row r="2" ht="21.75" customHeight="1">
      <c r="A2" s="4" t="s">
        <v>279</v>
      </c>
      <c r="B2" s="4"/>
      <c r="C2" s="4"/>
      <c r="D2" s="4"/>
      <c r="E2" s="4"/>
      <c r="F2" s="4"/>
      <c r="G2" s="4"/>
      <c r="H2" s="4"/>
      <c r="I2" s="10"/>
      <c r="J2" s="10"/>
      <c r="K2" s="10"/>
      <c r="L2" s="10"/>
      <c r="M2" s="10"/>
    </row>
    <row r="3" ht="18" customHeight="1">
      <c r="A3" s="11" t="s">
        <v>280</v>
      </c>
      <c r="B3" s="11" t="s">
        <v>281</v>
      </c>
      <c r="C3" s="11" t="s">
        <v>282</v>
      </c>
      <c r="D3" s="11" t="s">
        <v>283</v>
      </c>
      <c r="E3" s="11" t="s">
        <v>284</v>
      </c>
      <c r="F3" s="11" t="s">
        <v>285</v>
      </c>
      <c r="G3" s="11" t="s">
        <v>286</v>
      </c>
      <c r="H3" s="11" t="s">
        <v>64</v>
      </c>
    </row>
    <row r="4" ht="18" customHeight="1">
      <c r="A4" s="25">
        <v>1</v>
      </c>
      <c r="B4" s="6"/>
      <c r="C4" s="32"/>
      <c r="D4" s="32"/>
      <c r="E4" s="13"/>
      <c r="F4" s="13"/>
      <c r="G4" s="13"/>
      <c r="H4" s="13"/>
    </row>
    <row r="5" ht="18" customHeight="1">
      <c r="A5" s="26">
        <v>2</v>
      </c>
      <c r="B5" s="6"/>
      <c r="C5" s="32"/>
      <c r="D5" s="32"/>
      <c r="E5" s="13"/>
      <c r="F5" s="13"/>
      <c r="G5" s="13"/>
      <c r="H5" s="13"/>
    </row>
    <row r="6" ht="18" customHeight="1">
      <c r="A6" s="25">
        <v>3</v>
      </c>
      <c r="B6" s="6"/>
      <c r="C6" s="32"/>
      <c r="D6" s="32"/>
      <c r="E6" s="13"/>
      <c r="F6" s="13"/>
      <c r="G6" s="13"/>
      <c r="H6" s="13"/>
    </row>
    <row r="7" ht="18" customHeight="1">
      <c r="A7" s="26">
        <v>4</v>
      </c>
      <c r="B7" s="6"/>
      <c r="C7" s="32"/>
      <c r="D7" s="32"/>
      <c r="E7" s="13"/>
      <c r="F7" s="13"/>
      <c r="G7" s="13"/>
      <c r="H7" s="13"/>
    </row>
    <row r="8" ht="18" customHeight="1">
      <c r="A8" s="25">
        <v>5</v>
      </c>
      <c r="B8" s="6"/>
      <c r="C8" s="32"/>
      <c r="D8" s="32"/>
      <c r="E8" s="13"/>
      <c r="F8" s="13"/>
      <c r="G8" s="13"/>
      <c r="H8" s="13"/>
    </row>
    <row r="9" ht="18" customHeight="1">
      <c r="A9" s="26">
        <v>6</v>
      </c>
      <c r="B9" s="6"/>
      <c r="C9" s="32"/>
      <c r="D9" s="32"/>
      <c r="E9" s="13"/>
      <c r="F9" s="13"/>
      <c r="G9" s="13"/>
      <c r="H9" s="13"/>
    </row>
    <row r="10" ht="18" customHeight="1">
      <c r="A10" s="25">
        <v>7</v>
      </c>
      <c r="B10" s="6"/>
      <c r="C10" s="32"/>
      <c r="D10" s="32"/>
      <c r="E10" s="13"/>
      <c r="F10" s="13"/>
      <c r="G10" s="13"/>
      <c r="H10" s="13"/>
    </row>
    <row r="11" ht="18" customHeight="1">
      <c r="A11" s="26">
        <v>8</v>
      </c>
      <c r="B11" s="6"/>
      <c r="C11" s="32"/>
      <c r="D11" s="32"/>
      <c r="E11" s="13"/>
      <c r="F11" s="13"/>
      <c r="G11" s="13"/>
      <c r="H11" s="13"/>
    </row>
    <row r="12" ht="18" customHeight="1">
      <c r="A12" s="25">
        <v>9</v>
      </c>
      <c r="B12" s="6"/>
      <c r="C12" s="32"/>
      <c r="D12" s="32"/>
      <c r="E12" s="13"/>
      <c r="F12" s="13"/>
      <c r="G12" s="13"/>
      <c r="H12" s="13"/>
    </row>
    <row r="13" ht="18" customHeight="1">
      <c r="A13" s="26">
        <v>10</v>
      </c>
      <c r="B13" s="6"/>
      <c r="C13" s="32"/>
      <c r="D13" s="32"/>
      <c r="E13" s="13"/>
      <c r="F13" s="13"/>
      <c r="G13" s="13"/>
      <c r="H13" s="13"/>
    </row>
    <row r="14" ht="18" customHeight="1">
      <c r="A14" s="25">
        <v>11</v>
      </c>
      <c r="B14" s="6"/>
      <c r="C14" s="32"/>
      <c r="D14" s="32"/>
      <c r="E14" s="13"/>
      <c r="F14" s="13"/>
      <c r="G14" s="13"/>
      <c r="H14" s="13"/>
    </row>
    <row r="15" ht="18" customHeight="1">
      <c r="A15" s="26">
        <v>12</v>
      </c>
      <c r="B15" s="6"/>
      <c r="C15" s="32"/>
      <c r="D15" s="32"/>
      <c r="E15" s="13"/>
      <c r="F15" s="13"/>
      <c r="G15" s="13"/>
      <c r="H15" s="13"/>
    </row>
    <row r="16" ht="18" customHeight="1">
      <c r="A16" s="25">
        <v>13</v>
      </c>
      <c r="B16" s="6"/>
      <c r="C16" s="32"/>
      <c r="D16" s="32"/>
      <c r="E16" s="13"/>
      <c r="F16" s="13"/>
      <c r="G16" s="13"/>
      <c r="H16" s="13"/>
    </row>
    <row r="17" ht="18" customHeight="1">
      <c r="A17" s="26">
        <v>14</v>
      </c>
      <c r="B17" s="6"/>
      <c r="C17" s="32"/>
      <c r="D17" s="32"/>
      <c r="E17" s="13"/>
      <c r="F17" s="13"/>
      <c r="G17" s="13"/>
      <c r="H17" s="13"/>
    </row>
    <row r="18" ht="18" customHeight="1">
      <c r="A18" s="25">
        <v>15</v>
      </c>
      <c r="B18" s="6"/>
      <c r="C18" s="32"/>
      <c r="D18" s="32"/>
      <c r="E18" s="13"/>
      <c r="F18" s="13"/>
      <c r="G18" s="13"/>
      <c r="H18" s="13"/>
    </row>
    <row r="19" ht="18" customHeight="1">
      <c r="A19" s="26">
        <v>16</v>
      </c>
      <c r="B19" s="6"/>
      <c r="C19" s="32"/>
      <c r="D19" s="32"/>
      <c r="E19" s="13"/>
      <c r="F19" s="13"/>
      <c r="G19" s="13"/>
      <c r="H19" s="13"/>
    </row>
    <row r="20" ht="18" customHeight="1">
      <c r="A20" s="25">
        <v>17</v>
      </c>
      <c r="B20" s="6"/>
      <c r="C20" s="32"/>
      <c r="D20" s="32"/>
      <c r="E20" s="13"/>
      <c r="F20" s="13"/>
      <c r="G20" s="13"/>
      <c r="H20" s="13"/>
    </row>
    <row r="21" ht="18" customHeight="1">
      <c r="A21" s="26">
        <v>18</v>
      </c>
      <c r="B21" s="6"/>
      <c r="C21" s="32"/>
      <c r="D21" s="32"/>
      <c r="E21" s="13"/>
      <c r="F21" s="13"/>
      <c r="G21" s="13"/>
      <c r="H21" s="13"/>
    </row>
    <row r="22" ht="18" customHeight="1">
      <c r="A22" s="25">
        <v>19</v>
      </c>
      <c r="B22" s="6"/>
      <c r="C22" s="32"/>
      <c r="D22" s="32"/>
      <c r="E22" s="13"/>
      <c r="F22" s="13"/>
      <c r="G22" s="13"/>
      <c r="H22" s="13"/>
    </row>
    <row r="23" ht="18" customHeight="1">
      <c r="A23" s="26">
        <v>20</v>
      </c>
      <c r="B23" s="6"/>
      <c r="C23" s="32"/>
      <c r="D23" s="32"/>
      <c r="E23" s="13"/>
      <c r="F23" s="13"/>
      <c r="G23" s="13"/>
      <c r="H23" s="13"/>
    </row>
    <row r="24" ht="4.5" customHeight="1"/>
    <row r="25" ht="21.75" customHeight="1">
      <c r="A25" s="4" t="s">
        <v>287</v>
      </c>
      <c r="B25" s="4"/>
      <c r="C25" s="4"/>
      <c r="D25" s="4"/>
      <c r="E25" s="4"/>
      <c r="F25" s="4"/>
      <c r="G25" s="4"/>
      <c r="H25" s="4"/>
      <c r="I25" s="10"/>
      <c r="J25" s="10"/>
      <c r="K25" s="10"/>
      <c r="L25" s="10"/>
      <c r="M25" s="10"/>
      <c r="N25" s="10"/>
    </row>
    <row r="26" ht="15.75" customHeight="1">
      <c r="A26" s="5" t="s">
        <v>288</v>
      </c>
      <c r="B26" s="5"/>
      <c r="C26" s="5"/>
      <c r="D26" s="5"/>
      <c r="E26" s="5"/>
      <c r="F26" s="21">
        <f>COUNTA(B4:B23)</f>
        <v>0</v>
      </c>
      <c r="G26" s="21"/>
      <c r="H26" s="21"/>
    </row>
    <row r="27" ht="15.75" customHeight="1">
      <c r="A27" s="5" t="s">
        <v>289</v>
      </c>
      <c r="B27" s="5"/>
      <c r="C27" s="5"/>
      <c r="D27" s="5"/>
      <c r="E27" s="5"/>
      <c r="F27" s="21">
        <f>COUNTIF(H4:H23,"Open")</f>
        <v>0</v>
      </c>
      <c r="G27" s="21"/>
      <c r="H27" s="21"/>
    </row>
    <row r="28" ht="15.75" customHeight="1">
      <c r="A28" s="5" t="s">
        <v>290</v>
      </c>
      <c r="B28" s="5"/>
      <c r="C28" s="5"/>
      <c r="D28" s="5"/>
      <c r="E28" s="5"/>
      <c r="F28" s="21">
        <f>COUNTIF(H4:H23,"Closed")</f>
        <v>0</v>
      </c>
      <c r="G28" s="21"/>
      <c r="H28" s="21"/>
    </row>
    <row r="29" ht="15.75" customHeight="1">
      <c r="A29" s="5" t="s">
        <v>291</v>
      </c>
      <c r="B29" s="5"/>
      <c r="C29" s="5"/>
      <c r="D29" s="5"/>
      <c r="E29" s="5"/>
      <c r="F29" s="21">
        <f>COUNTIF(H4:H23,"Critical")</f>
        <v>0</v>
      </c>
      <c r="G29" s="21"/>
      <c r="H29" s="21"/>
    </row>
    <row r="30" ht="4.5" customHeight="1"/>
    <row r="31" ht="18" customHeight="1">
      <c r="A31" s="8" t="s">
        <v>52</v>
      </c>
      <c r="B31" s="8"/>
      <c r="C31" s="8"/>
      <c r="D31" s="8"/>
      <c r="E31" s="8"/>
      <c r="F31" s="8"/>
      <c r="G31" s="8"/>
      <c r="H31" s="8"/>
      <c r="I31" s="24"/>
      <c r="J31" s="24"/>
      <c r="K31" s="24"/>
      <c r="L31" s="24"/>
    </row>
  </sheetData>
  <mergeCells count="13">
    <mergeCell ref="A1:D1"/>
    <mergeCell ref="E1:H1"/>
    <mergeCell ref="A2:H2"/>
    <mergeCell ref="A25:H25"/>
    <mergeCell ref="A26:E26"/>
    <mergeCell ref="F26:H26"/>
    <mergeCell ref="A27:E27"/>
    <mergeCell ref="F27:H27"/>
    <mergeCell ref="A28:E28"/>
    <mergeCell ref="F28:H28"/>
    <mergeCell ref="A29:E29"/>
    <mergeCell ref="F29:H29"/>
    <mergeCell ref="A31:H3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22"/>
    <col customWidth="1" min="2" max="12" style="0" width="14"/>
  </cols>
  <sheetData>
    <row r="1" ht="30" customHeight="1">
      <c r="A1" s="1" t="s">
        <v>0</v>
      </c>
      <c r="B1" s="1"/>
      <c r="C1" s="1"/>
      <c r="D1" s="1"/>
      <c r="E1" s="1"/>
      <c r="F1" s="1"/>
      <c r="G1" s="9"/>
      <c r="H1" s="9"/>
      <c r="I1" s="9"/>
      <c r="J1" s="9"/>
      <c r="K1" s="9"/>
      <c r="L1" s="9"/>
    </row>
    <row r="2" ht="7.5" customHeight="1"/>
    <row r="3" ht="27.75" customHeight="1">
      <c r="A3" s="33" t="s">
        <v>292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4.5" customHeight="1"/>
    <row r="5" ht="21.75" customHeight="1">
      <c r="A5" s="4" t="s">
        <v>293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8" customHeight="1">
      <c r="A6" s="11" t="s">
        <v>294</v>
      </c>
      <c r="B6" s="11" t="s">
        <v>57</v>
      </c>
      <c r="C6" s="11" t="s">
        <v>58</v>
      </c>
      <c r="D6" s="11" t="s">
        <v>59</v>
      </c>
      <c r="E6" s="11" t="s">
        <v>295</v>
      </c>
      <c r="F6" s="11" t="s">
        <v>235</v>
      </c>
      <c r="G6" s="11" t="s">
        <v>236</v>
      </c>
      <c r="H6" s="11" t="s">
        <v>296</v>
      </c>
      <c r="I6" s="11"/>
      <c r="J6" s="11"/>
      <c r="K6" s="11"/>
      <c r="L6" s="11"/>
    </row>
    <row r="7" ht="15.75" customHeight="1">
      <c r="A7" s="5" t="s">
        <v>297</v>
      </c>
      <c r="B7" s="13"/>
      <c r="C7" s="13"/>
      <c r="D7" s="13"/>
      <c r="E7" s="13"/>
      <c r="F7" s="13"/>
      <c r="G7" s="13"/>
      <c r="H7" s="25"/>
      <c r="I7" s="25"/>
      <c r="J7" s="25"/>
      <c r="K7" s="25"/>
      <c r="L7" s="25"/>
    </row>
    <row r="8" ht="15.75" customHeight="1">
      <c r="A8" s="5" t="s">
        <v>298</v>
      </c>
      <c r="B8" s="13"/>
      <c r="C8" s="13"/>
      <c r="D8" s="13"/>
      <c r="E8" s="13"/>
      <c r="F8" s="13"/>
      <c r="G8" s="13"/>
      <c r="H8" s="26"/>
      <c r="I8" s="26"/>
      <c r="J8" s="26"/>
      <c r="K8" s="26"/>
      <c r="L8" s="26"/>
    </row>
    <row r="9" ht="15.75" customHeight="1">
      <c r="A9" s="5" t="s">
        <v>299</v>
      </c>
      <c r="B9" s="13"/>
      <c r="C9" s="13"/>
      <c r="D9" s="13"/>
      <c r="E9" s="13"/>
      <c r="F9" s="13"/>
      <c r="G9" s="13"/>
      <c r="H9" s="25"/>
      <c r="I9" s="25"/>
      <c r="J9" s="25"/>
      <c r="K9" s="25"/>
      <c r="L9" s="25"/>
    </row>
    <row r="10" ht="15.75" customHeight="1">
      <c r="A10" s="5" t="s">
        <v>300</v>
      </c>
      <c r="B10" s="13"/>
      <c r="C10" s="13"/>
      <c r="D10" s="13"/>
      <c r="E10" s="13"/>
      <c r="F10" s="13"/>
      <c r="G10" s="13"/>
      <c r="H10" s="26"/>
      <c r="I10" s="26"/>
      <c r="J10" s="26"/>
      <c r="K10" s="26"/>
      <c r="L10" s="26"/>
    </row>
    <row r="11" ht="15.75" customHeight="1">
      <c r="A11" s="5" t="s">
        <v>301</v>
      </c>
      <c r="B11" s="13"/>
      <c r="C11" s="13"/>
      <c r="D11" s="13"/>
      <c r="E11" s="13"/>
      <c r="F11" s="13"/>
      <c r="G11" s="13"/>
      <c r="H11" s="25"/>
      <c r="I11" s="25"/>
      <c r="J11" s="25"/>
      <c r="K11" s="25"/>
      <c r="L11" s="25"/>
    </row>
    <row r="12" ht="4.5" customHeight="1"/>
    <row r="13" ht="21.75" customHeight="1">
      <c r="A13" s="4" t="s">
        <v>302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5" t="s">
        <v>303</v>
      </c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</row>
    <row r="15" ht="15.75" customHeight="1">
      <c r="A15" s="5" t="s">
        <v>304</v>
      </c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</row>
    <row r="16" ht="15.75" customHeight="1">
      <c r="A16" s="5" t="s">
        <v>305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</row>
    <row r="17" ht="15.75" customHeight="1">
      <c r="A17" s="5" t="s">
        <v>306</v>
      </c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</row>
    <row r="18" ht="15.75" customHeight="1">
      <c r="A18" s="5" t="s">
        <v>307</v>
      </c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</row>
    <row r="19" ht="15.75" customHeight="1">
      <c r="A19" s="5" t="s">
        <v>308</v>
      </c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</row>
    <row r="20" ht="4.5" customHeight="1"/>
    <row r="21" ht="21.75" customHeight="1">
      <c r="A21" s="4" t="s">
        <v>309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ht="4.5" customHeight="1"/>
    <row r="31" ht="21.75" customHeight="1">
      <c r="A31" s="4" t="s">
        <v>310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9.5" customHeight="1">
      <c r="A32" s="5" t="s">
        <v>311</v>
      </c>
      <c r="B32" s="7"/>
      <c r="C32" s="7"/>
      <c r="D32" s="5" t="s">
        <v>312</v>
      </c>
      <c r="E32" s="7"/>
      <c r="F32" s="7"/>
      <c r="G32" s="5" t="s">
        <v>46</v>
      </c>
      <c r="H32" s="7"/>
      <c r="I32" s="7"/>
      <c r="J32" s="5" t="s">
        <v>48</v>
      </c>
      <c r="K32" s="7"/>
      <c r="L32" s="7"/>
    </row>
    <row r="33" ht="19.5" customHeight="1">
      <c r="A33" s="5" t="s">
        <v>313</v>
      </c>
      <c r="B33" s="7"/>
      <c r="C33" s="7"/>
      <c r="D33" s="5" t="s">
        <v>314</v>
      </c>
      <c r="E33" s="7"/>
      <c r="F33" s="7"/>
      <c r="G33" s="5" t="s">
        <v>15</v>
      </c>
      <c r="H33" s="7"/>
      <c r="I33" s="7"/>
      <c r="J33" s="5" t="s">
        <v>315</v>
      </c>
      <c r="K33" s="7"/>
      <c r="L33" s="7"/>
    </row>
    <row r="34" ht="19.5" customHeight="1">
      <c r="A34" s="5" t="s">
        <v>49</v>
      </c>
      <c r="B34" s="7"/>
      <c r="C34" s="7"/>
      <c r="D34" s="5" t="s">
        <v>316</v>
      </c>
      <c r="E34" s="7"/>
      <c r="F34" s="7"/>
      <c r="G34" s="5" t="s">
        <v>317</v>
      </c>
      <c r="H34" s="7"/>
      <c r="I34" s="7"/>
      <c r="J34" s="5" t="s">
        <v>48</v>
      </c>
      <c r="K34" s="7"/>
      <c r="L34" s="7"/>
    </row>
    <row r="35" ht="19.5" customHeight="1">
      <c r="A35" s="5" t="s">
        <v>318</v>
      </c>
      <c r="B35" s="7"/>
      <c r="C35" s="7"/>
      <c r="D35" s="5" t="s">
        <v>319</v>
      </c>
      <c r="E35" s="7"/>
      <c r="F35" s="7"/>
      <c r="G35" s="5" t="s">
        <v>46</v>
      </c>
      <c r="H35" s="7"/>
      <c r="I35" s="7"/>
      <c r="J35" s="5" t="s">
        <v>320</v>
      </c>
      <c r="K35" s="7"/>
      <c r="L35" s="7"/>
    </row>
    <row r="36" ht="4.5" customHeight="1"/>
    <row r="37" ht="18" customHeight="1">
      <c r="A37" s="8" t="s">
        <v>52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mergeCells count="28">
    <mergeCell ref="A1:F1"/>
    <mergeCell ref="G1:L1"/>
    <mergeCell ref="A3:L3"/>
    <mergeCell ref="A5:L5"/>
    <mergeCell ref="A13:L13"/>
    <mergeCell ref="A14:D14"/>
    <mergeCell ref="E14:L14"/>
    <mergeCell ref="A15:D15"/>
    <mergeCell ref="E15:L15"/>
    <mergeCell ref="A16:D16"/>
    <mergeCell ref="E16:L16"/>
    <mergeCell ref="A17:D17"/>
    <mergeCell ref="E17:L17"/>
    <mergeCell ref="A18:D18"/>
    <mergeCell ref="E18:L18"/>
    <mergeCell ref="A19:D19"/>
    <mergeCell ref="E19:L19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1:L31"/>
    <mergeCell ref="A37:L3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2026-03-20T12:06:52Z</dcterms:created>
  <dcterms:modified xsi:type="dcterms:W3CDTF">2026-03-28T18:43:57Z</dcterms:modified>
</cp:coreProperties>
</file>