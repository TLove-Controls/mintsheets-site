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pply Air Markup" sheetId="2" state="visible" r:id="rId4"/>
    <sheet name="Return &amp; Exhaust Markup" sheetId="3" state="visible" r:id="rId5"/>
    <sheet name="AHU-RTU Markup" sheetId="4" state="visible" r:id="rId6"/>
    <sheet name="Duct &amp; SP Markup" sheetId="5" state="visible" r:id="rId7"/>
    <sheet name="Hydronic Markup" sheetId="6" state="visible" r:id="rId8"/>
    <sheet name="Markup Checklist" sheetId="7" state="visible" r:id="rId9"/>
    <sheet name="Change Log" sheetId="8" state="visible" r:id="rId10"/>
    <sheet name="Summary &amp; Sign-Of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<sst xmlns="http://schemas.openxmlformats.org/spreadsheetml/2006/main" count="495" uniqueCount="307">
  <si>
    <t xml:space="preserve">Your HVAC Co.</t>
  </si>
  <si>
    <t xml:space="preserve">HVAC Markup Chart</t>
  </si>
  <si>
    <t xml:space="preserve">HVAC SYSTEM MARKUP CHART</t>
  </si>
  <si>
    <t xml:space="preserve">  📋  PROJECT &amp; DOCUMENT INFORMATION</t>
  </si>
  <si>
    <t xml:space="preserve">Project Name:</t>
  </si>
  <si>
    <t xml:space="preserve">Markup Chart #:</t>
  </si>
  <si>
    <t xml:space="preserve">Project Address:</t>
  </si>
  <si>
    <t xml:space="preserve">Issue Date:</t>
  </si>
  <si>
    <t xml:space="preserve">Building / Facility:</t>
  </si>
  <si>
    <t xml:space="preserve">Revision #:</t>
  </si>
  <si>
    <t xml:space="preserve">Owner / Client:</t>
  </si>
  <si>
    <t xml:space="preserve">Prepared By:</t>
  </si>
  <si>
    <t xml:space="preserve">Owner Contact:</t>
  </si>
  <si>
    <t xml:space="preserve">Reviewed By:</t>
  </si>
  <si>
    <t xml:space="preserve">Owner Phone / Email:</t>
  </si>
  <si>
    <t xml:space="preserve">Company:</t>
  </si>
  <si>
    <t xml:space="preserve">  ⚙️  SYSTEM &amp; EQUIPMENT INFORMATION</t>
  </si>
  <si>
    <t xml:space="preserve">System Name / Tag:</t>
  </si>
  <si>
    <t xml:space="preserve">System Type:</t>
  </si>
  <si>
    <t xml:space="preserve">AHU / RTU Manufacturer:</t>
  </si>
  <si>
    <t xml:space="preserve">Nominal Cooling (Tons):</t>
  </si>
  <si>
    <t xml:space="preserve">AHU / RTU Model #:</t>
  </si>
  <si>
    <t xml:space="preserve">Nominal Heating (BTU/hr):</t>
  </si>
  <si>
    <t xml:space="preserve">AHU / RTU Serial #:</t>
  </si>
  <si>
    <t xml:space="preserve">Refrigerant Type:</t>
  </si>
  <si>
    <t xml:space="preserve">Design Supply CFM:</t>
  </si>
  <si>
    <t xml:space="preserve">Fan Motor HP:</t>
  </si>
  <si>
    <t xml:space="preserve">Design Return CFM:</t>
  </si>
  <si>
    <t xml:space="preserve">Fan Design RPM:</t>
  </si>
  <si>
    <t xml:space="preserve">Design Exhaust CFM:</t>
  </si>
  <si>
    <t xml:space="preserve">Drive Type:</t>
  </si>
  <si>
    <t xml:space="preserve">Number of Zones:</t>
  </si>
  <si>
    <t xml:space="preserve">Filter Type / MERV:</t>
  </si>
  <si>
    <t xml:space="preserve">  🛠️  MARKUP PURPOSE &amp; SCOPE</t>
  </si>
  <si>
    <t xml:space="preserve">Markup Scope:</t>
  </si>
  <si>
    <t xml:space="preserve">Areas / Zones Included:</t>
  </si>
  <si>
    <t xml:space="preserve">Markup Standards / References:</t>
  </si>
  <si>
    <t xml:space="preserve">Associated Report #:</t>
  </si>
  <si>
    <t xml:space="preserve">  ✅  APPROVAL &amp; SIGN-OFF</t>
  </si>
  <si>
    <t xml:space="preserve">Markup Prepared By:</t>
  </si>
  <si>
    <t xml:space="preserve">Signature:</t>
  </si>
  <si>
    <t xml:space="preserve">Date:</t>
  </si>
  <si>
    <t xml:space="preserve">Markup Reviewed By:</t>
  </si>
  <si>
    <t xml:space="preserve">Engineer of Record:</t>
  </si>
  <si>
    <t xml:space="preserve">Stamp / Seal:</t>
  </si>
  <si>
    <t xml:space="preserve">Owner Acceptance:</t>
  </si>
  <si>
    <t xml:space="preserve">Your HVAC Co.  •  Rogers, AR  •  (479) 555-0100  •  www.yourhvacco.com</t>
  </si>
  <si>
    <t xml:space="preserve">  💨  SUPPLY AIR MARKUP — TERMINAL UNIT SCHEDULE</t>
  </si>
  <si>
    <t xml:space="preserve">Outlet / Grille ID</t>
  </si>
  <si>
    <t xml:space="preserve">Location / Zone</t>
  </si>
  <si>
    <t xml:space="preserve">Outlet Type</t>
  </si>
  <si>
    <t xml:space="preserve">Design CFM</t>
  </si>
  <si>
    <t xml:space="preserve">Marked-Up CFM</t>
  </si>
  <si>
    <t xml:space="preserve">% of Design</t>
  </si>
  <si>
    <t xml:space="preserve">Original CFM</t>
  </si>
  <si>
    <t xml:space="preserve">Change (CFM)</t>
  </si>
  <si>
    <t xml:space="preserve">Velocity (FPM)</t>
  </si>
  <si>
    <t xml:space="preserve">Ak Factor</t>
  </si>
  <si>
    <t xml:space="preserve">Status</t>
  </si>
  <si>
    <t xml:space="preserve">Markup Notes</t>
  </si>
  <si>
    <t xml:space="preserve">SA-01</t>
  </si>
  <si>
    <t xml:space="preserve">SA-02</t>
  </si>
  <si>
    <t xml:space="preserve">SA-03</t>
  </si>
  <si>
    <t xml:space="preserve">SA-04</t>
  </si>
  <si>
    <t xml:space="preserve">SA-05</t>
  </si>
  <si>
    <t xml:space="preserve">SA-06</t>
  </si>
  <si>
    <t xml:space="preserve">SA-07</t>
  </si>
  <si>
    <t xml:space="preserve">SA-08</t>
  </si>
  <si>
    <t xml:space="preserve">SA-09</t>
  </si>
  <si>
    <t xml:space="preserve">SA-10</t>
  </si>
  <si>
    <t xml:space="preserve">SA-11</t>
  </si>
  <si>
    <t xml:space="preserve">SA-12</t>
  </si>
  <si>
    <t xml:space="preserve">SA-13</t>
  </si>
  <si>
    <t xml:space="preserve">SA-14</t>
  </si>
  <si>
    <t xml:space="preserve">SA-15</t>
  </si>
  <si>
    <t xml:space="preserve">SA-16</t>
  </si>
  <si>
    <t xml:space="preserve">SA-17</t>
  </si>
  <si>
    <t xml:space="preserve">SA-18</t>
  </si>
  <si>
    <t xml:space="preserve">SA-19</t>
  </si>
  <si>
    <t xml:space="preserve">SA-20</t>
  </si>
  <si>
    <t xml:space="preserve">SUPPLY TOTALS</t>
  </si>
  <si>
    <t xml:space="preserve">  📊  SUPPLY MARKUP SUMMARY</t>
  </si>
  <si>
    <t xml:space="preserve">Total Design CFM:</t>
  </si>
  <si>
    <t xml:space="preserve">Balance Tolerance (±10%):</t>
  </si>
  <si>
    <t xml:space="preserve">±10%</t>
  </si>
  <si>
    <t xml:space="preserve">Total Marked-Up CFM:</t>
  </si>
  <si>
    <t xml:space="preserve">System Status:</t>
  </si>
  <si>
    <t xml:space="preserve">System % of Design:</t>
  </si>
  <si>
    <t xml:space="preserve"># Outlets Marked Up:</t>
  </si>
  <si>
    <t xml:space="preserve">Net CFM Change:</t>
  </si>
  <si>
    <t xml:space="preserve"># Outlets Unchanged:</t>
  </si>
  <si>
    <t xml:space="preserve">  🔄  RETURN AIR MARKUP — TERMINAL SCHEDULE</t>
  </si>
  <si>
    <t xml:space="preserve">Grille / Register ID</t>
  </si>
  <si>
    <t xml:space="preserve">Grille Type</t>
  </si>
  <si>
    <t xml:space="preserve">Grille Size</t>
  </si>
  <si>
    <t xml:space="preserve">Neck Size</t>
  </si>
  <si>
    <t xml:space="preserve">RA-01</t>
  </si>
  <si>
    <t xml:space="preserve">RA-02</t>
  </si>
  <si>
    <t xml:space="preserve">RA-03</t>
  </si>
  <si>
    <t xml:space="preserve">RA-04</t>
  </si>
  <si>
    <t xml:space="preserve">RA-05</t>
  </si>
  <si>
    <t xml:space="preserve">RA-06</t>
  </si>
  <si>
    <t xml:space="preserve">RA-07</t>
  </si>
  <si>
    <t xml:space="preserve">RA-08</t>
  </si>
  <si>
    <t xml:space="preserve">RA-09</t>
  </si>
  <si>
    <t xml:space="preserve">RA-10</t>
  </si>
  <si>
    <t xml:space="preserve">RA-11</t>
  </si>
  <si>
    <t xml:space="preserve">RA-12</t>
  </si>
  <si>
    <t xml:space="preserve">RETURN TOTALS</t>
  </si>
  <si>
    <t xml:space="preserve">  💨  EXHAUST AIR MARKUP — FAN &amp; TERMINAL SCHEDULE</t>
  </si>
  <si>
    <t xml:space="preserve">Fan / Grille ID</t>
  </si>
  <si>
    <t xml:space="preserve">Fan Type</t>
  </si>
  <si>
    <t xml:space="preserve">SP (in. wg)</t>
  </si>
  <si>
    <t xml:space="preserve">Motor HP</t>
  </si>
  <si>
    <t xml:space="preserve">EX-01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</si>
  <si>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</si>
  <si>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</si>
  <si>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</si>
  <si>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</si>
  <si>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</si>
  <si>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</si>
  <si>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</si>
  <si>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EXHAUST TOTALS</t>
  </si>
  <si>
    <t xml:space="preserve">  🏭  AHU / RTU PERFORMANCE MARKUP</t>
  </si>
  <si>
    <t xml:space="preserve">Parameter</t>
  </si>
  <si>
    <t xml:space="preserve">Original Value</t>
  </si>
  <si>
    <t xml:space="preserve">Marked-Up Value</t>
  </si>
  <si>
    <t xml:space="preserve">Unit</t>
  </si>
  <si>
    <t xml:space="preserve">Change</t>
  </si>
  <si>
    <t xml:space="preserve">Tolerance</t>
  </si>
  <si>
    <t xml:space="preserve">Total Supply CFM</t>
  </si>
  <si>
    <t xml:space="preserve">CFM</t>
  </si>
  <si>
    <t xml:space="preserve">Total Return CFM</t>
  </si>
  <si>
    <t xml:space="preserve">Outside Air CFM</t>
  </si>
  <si>
    <t xml:space="preserve">Supply Static Pressure (ESP)</t>
  </si>
  <si>
    <t xml:space="preserve">in. wg</t>
  </si>
  <si>
    <t xml:space="preserve">±0.1</t>
  </si>
  <si>
    <t xml:space="preserve">Return Static Pressure</t>
  </si>
  <si>
    <t xml:space="preserve">Total External Static Pressure</t>
  </si>
  <si>
    <t xml:space="preserve">Fan RPM</t>
  </si>
  <si>
    <t xml:space="preserve">RPM</t>
  </si>
  <si>
    <t xml:space="preserve">±5%</t>
  </si>
  <si>
    <t xml:space="preserve">Motor Full Load Amps</t>
  </si>
  <si>
    <t xml:space="preserve">Amps</t>
  </si>
  <si>
    <t xml:space="preserve">—</t>
  </si>
  <si>
    <t xml:space="preserve">Motor Measured Amps</t>
  </si>
  <si>
    <t xml:space="preserve">&lt;FLA</t>
  </si>
  <si>
    <t xml:space="preserve">HP</t>
  </si>
  <si>
    <t xml:space="preserve">Drive Belt / Sheave</t>
  </si>
  <si>
    <t xml:space="preserve">Supply Fan Entering DB (°F)</t>
  </si>
  <si>
    <t xml:space="preserve">°F</t>
  </si>
  <si>
    <t xml:space="preserve">Supply Fan Leaving DB (°F)</t>
  </si>
  <si>
    <t xml:space="preserve">Entering Coil DB</t>
  </si>
  <si>
    <t xml:space="preserve">Leaving Coil DB</t>
  </si>
  <si>
    <t xml:space="preserve">Filter SP Drop</t>
  </si>
  <si>
    <t xml:space="preserve">See Design</t>
  </si>
  <si>
    <t xml:space="preserve">Filter Type / MERV</t>
  </si>
  <si>
    <t xml:space="preserve">OSA Damper Position</t>
  </si>
  <si>
    <t xml:space="preserve">%</t>
  </si>
  <si>
    <t xml:space="preserve">Mixed Air Temperature</t>
  </si>
  <si>
    <t xml:space="preserve">  ❄️  COIL PERFORMANCE MARKUP</t>
  </si>
  <si>
    <t xml:space="preserve">Cooling Coil EAT (DB)</t>
  </si>
  <si>
    <t xml:space="preserve">Cooling Coil LAT (DB)</t>
  </si>
  <si>
    <t xml:space="preserve">Cooling Coil EAT (WB)</t>
  </si>
  <si>
    <t xml:space="preserve">Cooling Coil LAT (WB)</t>
  </si>
  <si>
    <t xml:space="preserve">Cooling Coil EWT</t>
  </si>
  <si>
    <t xml:space="preserve">Cooling Coil LWT</t>
  </si>
  <si>
    <t xml:space="preserve">Heating Coil EAT</t>
  </si>
  <si>
    <t xml:space="preserve">Heating Coil LAT</t>
  </si>
  <si>
    <t xml:space="preserve">Heating Coil EWT</t>
  </si>
  <si>
    <t xml:space="preserve">Heating Coil LWT</t>
  </si>
  <si>
    <t xml:space="preserve">  📐  DUCT STATIC PRESSURE &amp; VELOCITY MARKUP</t>
  </si>
  <si>
    <t xml:space="preserve">Duct / Location ID</t>
  </si>
  <si>
    <t xml:space="preserve">Duct Size (in.)</t>
  </si>
  <si>
    <t xml:space="preserve">Duct Area (ft²)</t>
  </si>
  <si>
    <t xml:space="preserve">Orig. Vel. (FPM)</t>
  </si>
  <si>
    <t xml:space="preserve">Markup Vel. (FPM)</t>
  </si>
  <si>
    <t xml:space="preserve">Orig. CFM</t>
  </si>
  <si>
    <t xml:space="preserve">Markup CFM</t>
  </si>
  <si>
    <t xml:space="preserve">SP+ (in. wg)</t>
  </si>
  <si>
    <t xml:space="preserve">SP- (in. wg)</t>
  </si>
  <si>
    <t xml:space="preserve">TP (in. wg)</t>
  </si>
  <si>
    <t xml:space="preserve">DUCT-01</t>
  </si>
  <si>
    <t xml:space="preserve">DUCT-02</t>
  </si>
  <si>
    <t xml:space="preserve">DUCT-03</t>
  </si>
  <si>
    <t xml:space="preserve">DUCT-04</t>
  </si>
  <si>
    <t xml:space="preserve">DUCT-05</t>
  </si>
  <si>
    <t xml:space="preserve">DUCT-06</t>
  </si>
  <si>
    <t xml:space="preserve">DUCT-07</t>
  </si>
  <si>
    <t xml:space="preserve">DUCT-08</t>
  </si>
  <si>
    <t xml:space="preserve">DUCT-09</t>
  </si>
  <si>
    <t xml:space="preserve">DUCT-10</t>
  </si>
  <si>
    <t xml:space="preserve">DUCT-11</t>
  </si>
  <si>
    <t xml:space="preserve">DUCT-12</t>
  </si>
  <si>
    <t xml:space="preserve">DUCT-13</t>
  </si>
  <si>
    <t xml:space="preserve">DUCT-14</t>
  </si>
  <si>
    <t xml:space="preserve">DUCT-15</t>
  </si>
  <si>
    <t xml:space="preserve">  💧  HYDRONIC SYSTEM MARKUP — FLOW SCHEDULE</t>
  </si>
  <si>
    <t xml:space="preserve">Coil / Terminal ID</t>
  </si>
  <si>
    <t xml:space="preserve">Orig. GPM</t>
  </si>
  <si>
    <t xml:space="preserve">Markup GPM</t>
  </si>
  <si>
    <t xml:space="preserve">% of Orig.</t>
  </si>
  <si>
    <t xml:space="preserve">EWT (°F)</t>
  </si>
  <si>
    <t xml:space="preserve">LWT (°F)</t>
  </si>
  <si>
    <t xml:space="preserve">∆T (°F)</t>
  </si>
  <si>
    <t xml:space="preserve">Orig. ∆P (ft)</t>
  </si>
  <si>
    <t xml:space="preserve">Markup ∆P (ft)</t>
  </si>
  <si>
    <t xml:space="preserve">HYD-01</t>
  </si>
  <si>
    <t xml:space="preserve">HYD-02</t>
  </si>
  <si>
    <t xml:space="preserve">HYD-03</t>
  </si>
  <si>
    <t xml:space="preserve">HYD-04</t>
  </si>
  <si>
    <t xml:space="preserve">HYD-05</t>
  </si>
  <si>
    <t xml:space="preserve">HYD-06</t>
  </si>
  <si>
    <t xml:space="preserve">HYD-07</t>
  </si>
  <si>
    <t xml:space="preserve">HYD-08</t>
  </si>
  <si>
    <t xml:space="preserve">HYD-09</t>
  </si>
  <si>
    <t xml:space="preserve">HYD-10</t>
  </si>
  <si>
    <t xml:space="preserve">HYD-11</t>
  </si>
  <si>
    <t xml:space="preserve">HYD-12</t>
  </si>
  <si>
    <t xml:space="preserve">HYD-13</t>
  </si>
  <si>
    <t xml:space="preserve">HYD-14</t>
  </si>
  <si>
    <t xml:space="preserve">HYD-15</t>
  </si>
  <si>
    <t xml:space="preserve">HYD-16</t>
  </si>
  <si>
    <t xml:space="preserve">SYSTEM TOTALS</t>
  </si>
  <si>
    <t xml:space="preserve">  ☑️  MARKUP REVIEW &amp; VERIFICATION CHECKLIST</t>
  </si>
  <si>
    <t xml:space="preserve">Checklist Item</t>
  </si>
  <si>
    <t xml:space="preserve">Pass</t>
  </si>
  <si>
    <t xml:space="preserve">Fail</t>
  </si>
  <si>
    <t xml:space="preserve">N/A</t>
  </si>
  <si>
    <t xml:space="preserve">Notes / Action Required</t>
  </si>
  <si>
    <t xml:space="preserve">  ▶  MARKUP COMPLETENESS</t>
  </si>
  <si>
    <t xml:space="preserve">   All supply air outlets included with original and markup CFM values</t>
  </si>
  <si>
    <t xml:space="preserve">☐</t>
  </si>
  <si>
    <t xml:space="preserve">   All return air grilles included with original and markup CFM values</t>
  </si>
  <si>
    <t xml:space="preserve">   All exhaust fans/grilles included with markup values</t>
  </si>
  <si>
    <t xml:space="preserve">   AHU/RTU performance parameters fully marked up</t>
  </si>
  <si>
    <t xml:space="preserve">   Duct traverse locations identified and documented</t>
  </si>
  <si>
    <t xml:space="preserve">   Hydronic coil terminals included where applicable</t>
  </si>
  <si>
    <t xml:space="preserve">   All system IDs cross-referenced to as-built drawings</t>
  </si>
  <si>
    <t xml:space="preserve">   Markup CFM values match revised balancing report data</t>
  </si>
  <si>
    <t xml:space="preserve">  ▶  DESIGN COMPLIANCE</t>
  </si>
  <si>
    <t xml:space="preserve">   Supply system within ±10% of original design CFM</t>
  </si>
  <si>
    <t xml:space="preserve">   Return system within ±10% of original design CFM</t>
  </si>
  <si>
    <t xml:space="preserve">   Exhaust fans within ±10% of design CFM</t>
  </si>
  <si>
    <t xml:space="preserve">   Outdoor air meets minimum ventilation requirements (ASHRAE 62.1)</t>
  </si>
  <si>
    <t xml:space="preserve">   Building pressurization maintained positive (where required)</t>
  </si>
  <si>
    <t xml:space="preserve">   No zone exceeds maximum design velocity</t>
  </si>
  <si>
    <t xml:space="preserve">   Fan operating point within acceptable range of design</t>
  </si>
  <si>
    <t xml:space="preserve">   Motor amps below full load amp rating</t>
  </si>
  <si>
    <t xml:space="preserve">  ▶  DOCUMENTATION &amp; QUALITY</t>
  </si>
  <si>
    <t xml:space="preserve">   Markup chart matches as-tested conditions</t>
  </si>
  <si>
    <t xml:space="preserve">   All changes from original design clearly identified</t>
  </si>
  <si>
    <t xml:space="preserve">   All override or adjusted values noted with justification</t>
  </si>
  <si>
    <t xml:space="preserve">   Instrument calibration current (within 12 months)</t>
  </si>
  <si>
    <t xml:space="preserve">   Test conditions recorded (date, temp, RH, barometric pressure)</t>
  </si>
  <si>
    <t xml:space="preserve">   Field technician name, license, and signature present</t>
  </si>
  <si>
    <t xml:space="preserve">   Engineer of record review and stamp obtained (if required)</t>
  </si>
  <si>
    <t xml:space="preserve">   Owner / owner's representative sign-off completed</t>
  </si>
  <si>
    <t xml:space="preserve">  ▶  POST-MARKUP VERIFICATION</t>
  </si>
  <si>
    <t xml:space="preserve">   Final marked-up values entered in all data sheets</t>
  </si>
  <si>
    <t xml:space="preserve">   All deficiencies from markup review logged in Deficiency Log</t>
  </si>
  <si>
    <t xml:space="preserve">   Rebalancing required items identified and scheduled</t>
  </si>
  <si>
    <t xml:space="preserve">   As-found vs as-left summary complete</t>
  </si>
  <si>
    <t xml:space="preserve">   Report narrative updated to reflect markup changes</t>
  </si>
  <si>
    <t xml:space="preserve">   Revision number incremented on cover sheet</t>
  </si>
  <si>
    <t xml:space="preserve">  📝  MARKUP CHANGE LOG &amp; REVISION TRACKING</t>
  </si>
  <si>
    <t xml:space="preserve">#</t>
  </si>
  <si>
    <t xml:space="preserve">System / Location</t>
  </si>
  <si>
    <t xml:space="preserve">Parameter Changed</t>
  </si>
  <si>
    <t xml:space="preserve">Revised Value</t>
  </si>
  <si>
    <t xml:space="preserve">Change Reason</t>
  </si>
  <si>
    <t xml:space="preserve">Approved By</t>
  </si>
  <si>
    <t xml:space="preserve">  📊  CHANGE SUMMARY</t>
  </si>
  <si>
    <t xml:space="preserve">Total Changes Logged:</t>
  </si>
  <si>
    <t xml:space="preserve">Supply Air Changes:</t>
  </si>
  <si>
    <t xml:space="preserve">Return Air Changes:</t>
  </si>
  <si>
    <t xml:space="preserve">Exhaust Changes:</t>
  </si>
  <si>
    <t xml:space="preserve">HVAC MARKUP CHART — FINAL SUMMARY</t>
  </si>
  <si>
    <t xml:space="preserve">  📊  MARKUP RESULTS SUMMARY</t>
  </si>
  <si>
    <t xml:space="preserve">System</t>
  </si>
  <si>
    <t xml:space="preserve">Orig. Design CFM</t>
  </si>
  <si>
    <t xml:space="preserve"># Outlets</t>
  </si>
  <si>
    <t xml:space="preserve"># Changed</t>
  </si>
  <si>
    <t xml:space="preserve"># Unchanged</t>
  </si>
  <si>
    <t xml:space="preserve">Balance Status</t>
  </si>
  <si>
    <t xml:space="preserve">Supply Air System</t>
  </si>
  <si>
    <t xml:space="preserve">Return Air System</t>
  </si>
  <si>
    <t xml:space="preserve">Exhaust System</t>
  </si>
  <si>
    <t xml:space="preserve">Outdoor Air</t>
  </si>
  <si>
    <t xml:space="preserve">Transfer Air (if applicable)</t>
  </si>
  <si>
    <t xml:space="preserve">  📝  OVERALL FINDINGS &amp; RECOMMENDATIONS</t>
  </si>
  <si>
    <t xml:space="preserve">Overall Markup Status:</t>
  </si>
  <si>
    <t xml:space="preserve">Building Pressurization:</t>
  </si>
  <si>
    <t xml:space="preserve">Outdoor Air Verification:</t>
  </si>
  <si>
    <t xml:space="preserve">Total Changes Identified:</t>
  </si>
  <si>
    <t xml:space="preserve">Rebalancing Required?:</t>
  </si>
  <si>
    <t xml:space="preserve">Recommended Follow-Up Date:</t>
  </si>
  <si>
    <t xml:space="preserve">  🗒️  MARKUP NOTES / NARRATIVE</t>
  </si>
  <si>
    <t xml:space="preserve">  ✍️  APPROVAL &amp; SIGNATURE BLOCK</t>
  </si>
  <si>
    <t xml:space="preserve">Print Name:</t>
  </si>
  <si>
    <t xml:space="preserve">Certification #:</t>
  </si>
  <si>
    <t xml:space="preserve">Phone:</t>
  </si>
  <si>
    <t xml:space="preserve">License #:</t>
  </si>
  <si>
    <t xml:space="preserve">Signature / Seal:</t>
  </si>
  <si>
    <t xml:space="preserve">Owner Representative:</t>
  </si>
  <si>
    <t xml:space="preserve">Title:</t>
  </si>
  <si>
    <t xml:space="preserve">Date Accepted: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</si>
</sst>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  <c r="F6" s="6"/>
      <c r="G6" s="5" t="s">
        <v>5</v>
      </c>
      <c r="H6" s="5"/>
      <c r="I6" s="5"/>
      <c r="J6" s="5"/>
      <c r="K6" s="5"/>
      <c r="L6" s="6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6"/>
      <c r="G7" s="5" t="s">
        <v>7</v>
      </c>
      <c r="H7" s="5"/>
      <c r="I7" s="5"/>
      <c r="J7" s="5"/>
      <c r="K7" s="5"/>
      <c r="L7" s="6"/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6"/>
      <c r="G8" s="5" t="s">
        <v>9</v>
      </c>
      <c r="H8" s="5"/>
      <c r="I8" s="5"/>
      <c r="J8" s="5"/>
      <c r="K8" s="5"/>
      <c r="L8" s="6"/>
    </row>
    <row r="9" customFormat="false" ht="15" hidden="false" customHeight="true" outlineLevel="0" collapsed="false">
      <c r="A9" s="5" t="s">
        <v>10</v>
      </c>
      <c r="B9" s="5"/>
      <c r="C9" s="5"/>
      <c r="D9" s="5"/>
      <c r="E9" s="5"/>
      <c r="F9" s="6"/>
      <c r="G9" s="5" t="s">
        <v>11</v>
      </c>
      <c r="H9" s="5"/>
      <c r="I9" s="5"/>
      <c r="J9" s="5"/>
      <c r="K9" s="5"/>
      <c r="L9" s="6"/>
    </row>
    <row r="10" customFormat="false" ht="15" hidden="false" customHeight="true" outlineLevel="0" collapsed="false">
      <c r="A10" s="5" t="s">
        <v>12</v>
      </c>
      <c r="B10" s="5"/>
      <c r="C10" s="5"/>
      <c r="D10" s="5"/>
      <c r="E10" s="5"/>
      <c r="F10" s="6"/>
      <c r="G10" s="5" t="s">
        <v>13</v>
      </c>
      <c r="H10" s="5"/>
      <c r="I10" s="5"/>
      <c r="J10" s="5"/>
      <c r="K10" s="5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6"/>
      <c r="G11" s="5" t="s">
        <v>15</v>
      </c>
      <c r="H11" s="5"/>
      <c r="I11" s="5"/>
      <c r="J11" s="5"/>
      <c r="K11" s="5"/>
      <c r="L11" s="6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5"/>
      <c r="E14" s="5"/>
      <c r="G14" s="5" t="s">
        <v>18</v>
      </c>
      <c r="H14" s="5"/>
      <c r="I14" s="5"/>
      <c r="J14" s="5"/>
      <c r="K14" s="5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G15" s="5" t="s">
        <v>20</v>
      </c>
      <c r="H15" s="5"/>
      <c r="I15" s="5"/>
      <c r="J15" s="5"/>
      <c r="K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G16" s="5" t="s">
        <v>22</v>
      </c>
      <c r="H16" s="5"/>
      <c r="I16" s="5"/>
      <c r="J16" s="5"/>
      <c r="K16" s="5"/>
    </row>
    <row r="17" customFormat="false" ht="15" hidden="false" customHeight="true" outlineLevel="0" collapsed="false">
      <c r="A17" s="5" t="s">
        <v>23</v>
      </c>
      <c r="B17" s="5"/>
      <c r="C17" s="5"/>
      <c r="D17" s="5"/>
      <c r="E17" s="5"/>
      <c r="G17" s="5" t="s">
        <v>24</v>
      </c>
      <c r="H17" s="5"/>
      <c r="I17" s="5"/>
      <c r="J17" s="5"/>
      <c r="K17" s="5"/>
    </row>
    <row r="18" customFormat="false" ht="15" hidden="false" customHeight="true" outlineLevel="0" collapsed="false">
      <c r="A18" s="5" t="s">
        <v>25</v>
      </c>
      <c r="B18" s="5"/>
      <c r="C18" s="5"/>
      <c r="D18" s="5"/>
      <c r="E18" s="5"/>
      <c r="G18" s="5" t="s">
        <v>26</v>
      </c>
      <c r="H18" s="5"/>
      <c r="I18" s="5"/>
      <c r="J18" s="5"/>
      <c r="K18" s="5"/>
    </row>
    <row r="19" customFormat="false" ht="15" hidden="false" customHeight="true" outlineLevel="0" collapsed="false">
      <c r="A19" s="5" t="s">
        <v>27</v>
      </c>
      <c r="B19" s="5"/>
      <c r="C19" s="5"/>
      <c r="D19" s="5"/>
      <c r="E19" s="5"/>
      <c r="G19" s="5" t="s">
        <v>28</v>
      </c>
      <c r="H19" s="5"/>
      <c r="I19" s="5"/>
      <c r="J19" s="5"/>
      <c r="K19" s="5"/>
    </row>
    <row r="20" customFormat="false" ht="15" hidden="false" customHeight="true" outlineLevel="0" collapsed="false">
      <c r="A20" s="5" t="s">
        <v>29</v>
      </c>
      <c r="B20" s="5"/>
      <c r="C20" s="5"/>
      <c r="D20" s="5"/>
      <c r="E20" s="5"/>
      <c r="G20" s="5" t="s">
        <v>30</v>
      </c>
      <c r="H20" s="5"/>
      <c r="I20" s="5"/>
      <c r="J20" s="5"/>
      <c r="K20" s="5"/>
    </row>
    <row r="21" customFormat="false" ht="15" hidden="false" customHeight="true" outlineLevel="0" collapsed="false">
      <c r="A21" s="5" t="s">
        <v>31</v>
      </c>
      <c r="B21" s="5"/>
      <c r="C21" s="5"/>
      <c r="D21" s="5"/>
      <c r="E21" s="5"/>
      <c r="G21" s="5" t="s">
        <v>32</v>
      </c>
      <c r="H21" s="5"/>
      <c r="I21" s="5"/>
      <c r="J21" s="5"/>
      <c r="K21" s="5"/>
    </row>
    <row r="22" customFormat="false" ht="4.5" hidden="false" customHeight="true" outlineLevel="0" collapsed="false"/>
    <row r="23" customFormat="false" ht="21.75" hidden="false" customHeight="true" outlineLevel="0" collapsed="false">
      <c r="A23" s="4" t="s">
        <v>33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true" outlineLevel="0" collapsed="false">
      <c r="A24" s="5" t="s">
        <v>34</v>
      </c>
      <c r="B24" s="5"/>
      <c r="C24" s="5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true" outlineLevel="0" collapsed="false">
      <c r="A25" s="5" t="s">
        <v>35</v>
      </c>
      <c r="B25" s="5"/>
      <c r="C25" s="5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true" outlineLevel="0" collapsed="false">
      <c r="A26" s="5" t="s">
        <v>36</v>
      </c>
      <c r="B26" s="5"/>
      <c r="C26" s="5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" hidden="false" customHeight="true" outlineLevel="0" collapsed="false">
      <c r="A27" s="5" t="s">
        <v>37</v>
      </c>
      <c r="B27" s="5"/>
      <c r="C27" s="5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4.5" hidden="false" customHeight="true" outlineLevel="0" collapsed="false"/>
    <row r="29" customFormat="false" ht="21.75" hidden="false" customHeight="true" outlineLevel="0" collapsed="false">
      <c r="A29" s="4" t="s">
        <v>38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8" hidden="false" customHeight="true" outlineLevel="0" collapsed="false">
      <c r="A30" s="5" t="s">
        <v>39</v>
      </c>
      <c r="B30" s="5"/>
      <c r="C30" s="5"/>
      <c r="D30" s="5"/>
      <c r="E30" s="5" t="s">
        <v>40</v>
      </c>
      <c r="F30" s="5"/>
      <c r="G30" s="5"/>
      <c r="H30" s="5"/>
      <c r="I30" s="5" t="s">
        <v>41</v>
      </c>
      <c r="J30" s="5"/>
      <c r="K30" s="5"/>
    </row>
    <row r="31" customFormat="false" ht="18" hidden="false" customHeight="true" outlineLevel="0" collapsed="false">
      <c r="A31" s="5" t="s">
        <v>42</v>
      </c>
      <c r="B31" s="5"/>
      <c r="C31" s="5"/>
      <c r="D31" s="5"/>
      <c r="E31" s="5" t="s">
        <v>40</v>
      </c>
      <c r="F31" s="5"/>
      <c r="G31" s="5"/>
      <c r="H31" s="5"/>
      <c r="I31" s="5" t="s">
        <v>41</v>
      </c>
      <c r="J31" s="5"/>
      <c r="K31" s="5"/>
    </row>
    <row r="32" customFormat="false" ht="18" hidden="false" customHeight="true" outlineLevel="0" collapsed="false">
      <c r="A32" s="5" t="s">
        <v>43</v>
      </c>
      <c r="B32" s="5"/>
      <c r="C32" s="5"/>
      <c r="D32" s="5"/>
      <c r="E32" s="5" t="s">
        <v>44</v>
      </c>
      <c r="F32" s="5"/>
      <c r="G32" s="5"/>
      <c r="H32" s="5"/>
      <c r="I32" s="5" t="s">
        <v>41</v>
      </c>
      <c r="J32" s="5"/>
      <c r="K32" s="5"/>
    </row>
    <row r="33" customFormat="false" ht="18" hidden="false" customHeight="true" outlineLevel="0" collapsed="false">
      <c r="A33" s="5" t="s">
        <v>45</v>
      </c>
      <c r="B33" s="5"/>
      <c r="C33" s="5"/>
      <c r="D33" s="5"/>
      <c r="E33" s="5" t="s">
        <v>40</v>
      </c>
      <c r="F33" s="5"/>
      <c r="G33" s="5"/>
      <c r="H33" s="5"/>
      <c r="I33" s="5" t="s">
        <v>41</v>
      </c>
      <c r="J33" s="5"/>
      <c r="K33" s="5"/>
    </row>
    <row r="34" customFormat="false" ht="4.5" hidden="false" customHeight="true" outlineLevel="0" collapsed="false"/>
    <row r="35" customFormat="false" ht="18" hidden="false" customHeight="true" outlineLevel="0" collapsed="false">
      <c r="A35" s="8" t="s">
        <v>46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</sheetData>
  <mergeCells count="56">
    <mergeCell ref="A1:F1"/>
    <mergeCell ref="G1:L1"/>
    <mergeCell ref="A3:L3"/>
    <mergeCell ref="A5:L5"/>
    <mergeCell ref="A6:E6"/>
    <mergeCell ref="G6:K6"/>
    <mergeCell ref="A7:E7"/>
    <mergeCell ref="G7:K7"/>
    <mergeCell ref="A8:E8"/>
    <mergeCell ref="G8:K8"/>
    <mergeCell ref="A9:E9"/>
    <mergeCell ref="G9:K9"/>
    <mergeCell ref="A10:E10"/>
    <mergeCell ref="G10:K10"/>
    <mergeCell ref="A11:E11"/>
    <mergeCell ref="G11:K11"/>
    <mergeCell ref="A13:L13"/>
    <mergeCell ref="A14:E14"/>
    <mergeCell ref="G14:K14"/>
    <mergeCell ref="A15:E15"/>
    <mergeCell ref="G15:K15"/>
    <mergeCell ref="A16:E16"/>
    <mergeCell ref="G16:K16"/>
    <mergeCell ref="A17:E17"/>
    <mergeCell ref="G17:K17"/>
    <mergeCell ref="A18:E18"/>
    <mergeCell ref="G18:K18"/>
    <mergeCell ref="A19:E19"/>
    <mergeCell ref="G19:K19"/>
    <mergeCell ref="A20:E20"/>
    <mergeCell ref="G20:K20"/>
    <mergeCell ref="A21:E21"/>
    <mergeCell ref="G21:K21"/>
    <mergeCell ref="A23:L23"/>
    <mergeCell ref="A24:C24"/>
    <mergeCell ref="D24:L24"/>
    <mergeCell ref="A25:C25"/>
    <mergeCell ref="D25:L25"/>
    <mergeCell ref="A26:C26"/>
    <mergeCell ref="D26:L26"/>
    <mergeCell ref="A27:C27"/>
    <mergeCell ref="D27:L27"/>
    <mergeCell ref="A29:L29"/>
    <mergeCell ref="A30:D30"/>
    <mergeCell ref="E30:H30"/>
    <mergeCell ref="I30:K30"/>
    <mergeCell ref="A31:D31"/>
    <mergeCell ref="E31:H31"/>
    <mergeCell ref="I31:K31"/>
    <mergeCell ref="A32:D32"/>
    <mergeCell ref="E32:H32"/>
    <mergeCell ref="I32:K32"/>
    <mergeCell ref="A33:D33"/>
    <mergeCell ref="E33:H33"/>
    <mergeCell ref="I33:K33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11" min="6" style="0" width="1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9" t="s">
        <v>48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57</v>
      </c>
      <c r="K3" s="9" t="s">
        <v>58</v>
      </c>
      <c r="L3" s="9" t="s">
        <v>59</v>
      </c>
    </row>
    <row r="4" customFormat="false" ht="15" hidden="false" customHeight="true" outlineLevel="0" collapsed="false">
      <c r="A4" s="10" t="s">
        <v>60</v>
      </c>
      <c r="B4" s="10"/>
      <c r="C4" s="10"/>
      <c r="D4" s="10"/>
      <c r="E4" s="10"/>
      <c r="F4" s="10" t="str">
        <f aca="false">IF(D4&gt;0,E4/D4*100,"")</f>
        <v/>
      </c>
      <c r="G4" s="10"/>
      <c r="H4" s="10" t="str">
        <f aca="false">IF(E4&lt;&gt;"",E4-G4,"")</f>
        <v/>
      </c>
      <c r="I4" s="10"/>
      <c r="J4" s="10"/>
      <c r="K4" s="11" t="str">
        <f aca="false">IF(F4="","",IF(AND(F4&gt;=90,F4&lt;=110),"✓ PASS","✗ FAIL"))</f>
        <v/>
      </c>
      <c r="L4" s="10"/>
    </row>
    <row r="5" customFormat="false" ht="15" hidden="false" customHeight="true" outlineLevel="0" collapsed="false">
      <c r="A5" s="12" t="s">
        <v>61</v>
      </c>
      <c r="B5" s="12"/>
      <c r="C5" s="12"/>
      <c r="D5" s="12"/>
      <c r="E5" s="12"/>
      <c r="F5" s="12" t="str">
        <f aca="false">IF(D5&gt;0,E5/D5*100,"")</f>
        <v/>
      </c>
      <c r="G5" s="12"/>
      <c r="H5" s="12" t="str">
        <f aca="false">IF(E5&lt;&gt;"",E5-G5,"")</f>
        <v/>
      </c>
      <c r="I5" s="12"/>
      <c r="J5" s="12"/>
      <c r="K5" s="13" t="str">
        <f aca="false">IF(F5="","",IF(AND(F5&gt;=90,F5&lt;=110),"✓ PASS","✗ FAIL"))</f>
        <v/>
      </c>
      <c r="L5" s="12"/>
    </row>
    <row r="6" customFormat="false" ht="15" hidden="false" customHeight="true" outlineLevel="0" collapsed="false">
      <c r="A6" s="10" t="s">
        <v>62</v>
      </c>
      <c r="B6" s="10"/>
      <c r="C6" s="10"/>
      <c r="D6" s="10"/>
      <c r="E6" s="10"/>
      <c r="F6" s="10" t="str">
        <f aca="false">IF(D6&gt;0,E6/D6*100,"")</f>
        <v/>
      </c>
      <c r="G6" s="10"/>
      <c r="H6" s="10" t="str">
        <f aca="false">IF(E6&lt;&gt;"",E6-G6,"")</f>
        <v/>
      </c>
      <c r="I6" s="10"/>
      <c r="J6" s="10"/>
      <c r="K6" s="11" t="str">
        <f aca="false">IF(F6="","",IF(AND(F6&gt;=90,F6&lt;=110),"✓ PASS","✗ FAIL"))</f>
        <v/>
      </c>
      <c r="L6" s="10"/>
    </row>
    <row r="7" customFormat="false" ht="15" hidden="false" customHeight="true" outlineLevel="0" collapsed="false">
      <c r="A7" s="12" t="s">
        <v>63</v>
      </c>
      <c r="B7" s="12"/>
      <c r="C7" s="12"/>
      <c r="D7" s="12"/>
      <c r="E7" s="12"/>
      <c r="F7" s="12" t="str">
        <f aca="false">IF(D7&gt;0,E7/D7*100,"")</f>
        <v/>
      </c>
      <c r="G7" s="12"/>
      <c r="H7" s="12" t="str">
        <f aca="false">IF(E7&lt;&gt;"",E7-G7,"")</f>
        <v/>
      </c>
      <c r="I7" s="12"/>
      <c r="J7" s="12"/>
      <c r="K7" s="13" t="str">
        <f aca="false">IF(F7="","",IF(AND(F7&gt;=90,F7&lt;=110),"✓ PASS","✗ FAIL"))</f>
        <v/>
      </c>
      <c r="L7" s="12"/>
    </row>
    <row r="8" customFormat="false" ht="15" hidden="false" customHeight="true" outlineLevel="0" collapsed="false">
      <c r="A8" s="10" t="s">
        <v>64</v>
      </c>
      <c r="B8" s="10"/>
      <c r="C8" s="10"/>
      <c r="D8" s="10"/>
      <c r="E8" s="10"/>
      <c r="F8" s="10" t="str">
        <f aca="false">IF(D8&gt;0,E8/D8*100,"")</f>
        <v/>
      </c>
      <c r="G8" s="10"/>
      <c r="H8" s="10" t="str">
        <f aca="false">IF(E8&lt;&gt;"",E8-G8,"")</f>
        <v/>
      </c>
      <c r="I8" s="10"/>
      <c r="J8" s="10"/>
      <c r="K8" s="11" t="str">
        <f aca="false">IF(F8="","",IF(AND(F8&gt;=90,F8&lt;=110),"✓ PASS","✗ FAIL"))</f>
        <v/>
      </c>
      <c r="L8" s="10"/>
    </row>
    <row r="9" customFormat="false" ht="15" hidden="false" customHeight="true" outlineLevel="0" collapsed="false">
      <c r="A9" s="12" t="s">
        <v>65</v>
      </c>
      <c r="B9" s="12"/>
      <c r="C9" s="12"/>
      <c r="D9" s="12"/>
      <c r="E9" s="12"/>
      <c r="F9" s="12" t="str">
        <f aca="false">IF(D9&gt;0,E9/D9*100,"")</f>
        <v/>
      </c>
      <c r="G9" s="12"/>
      <c r="H9" s="12" t="str">
        <f aca="false">IF(E9&lt;&gt;"",E9-G9,"")</f>
        <v/>
      </c>
      <c r="I9" s="12"/>
      <c r="J9" s="12"/>
      <c r="K9" s="13" t="str">
        <f aca="false">IF(F9="","",IF(AND(F9&gt;=90,F9&lt;=110),"✓ PASS","✗ FAIL"))</f>
        <v/>
      </c>
      <c r="L9" s="12"/>
    </row>
    <row r="10" customFormat="false" ht="15" hidden="false" customHeight="true" outlineLevel="0" collapsed="false">
      <c r="A10" s="10" t="s">
        <v>66</v>
      </c>
      <c r="B10" s="10"/>
      <c r="C10" s="10"/>
      <c r="D10" s="10"/>
      <c r="E10" s="10"/>
      <c r="F10" s="10" t="str">
        <f aca="false">IF(D10&gt;0,E10/D10*100,"")</f>
        <v/>
      </c>
      <c r="G10" s="10"/>
      <c r="H10" s="10" t="str">
        <f aca="false">IF(E10&lt;&gt;"",E10-G10,"")</f>
        <v/>
      </c>
      <c r="I10" s="10"/>
      <c r="J10" s="10"/>
      <c r="K10" s="11" t="str">
        <f aca="false">IF(F10="","",IF(AND(F10&gt;=90,F10&lt;=110),"✓ PASS","✗ FAIL"))</f>
        <v/>
      </c>
      <c r="L10" s="10"/>
    </row>
    <row r="11" customFormat="false" ht="15" hidden="false" customHeight="true" outlineLevel="0" collapsed="false">
      <c r="A11" s="12" t="s">
        <v>67</v>
      </c>
      <c r="B11" s="12"/>
      <c r="C11" s="12"/>
      <c r="D11" s="12"/>
      <c r="E11" s="12"/>
      <c r="F11" s="12" t="str">
        <f aca="false">IF(D11&gt;0,E11/D11*100,"")</f>
        <v/>
      </c>
      <c r="G11" s="12"/>
      <c r="H11" s="12" t="str">
        <f aca="false">IF(E11&lt;&gt;"",E11-G11,"")</f>
        <v/>
      </c>
      <c r="I11" s="12"/>
      <c r="J11" s="12"/>
      <c r="K11" s="13" t="str">
        <f aca="false">IF(F11="","",IF(AND(F11&gt;=90,F11&lt;=110),"✓ PASS","✗ FAIL"))</f>
        <v/>
      </c>
      <c r="L11" s="12"/>
    </row>
    <row r="12" customFormat="false" ht="15" hidden="false" customHeight="true" outlineLevel="0" collapsed="false">
      <c r="A12" s="10" t="s">
        <v>68</v>
      </c>
      <c r="B12" s="10"/>
      <c r="C12" s="10"/>
      <c r="D12" s="10"/>
      <c r="E12" s="10"/>
      <c r="F12" s="10" t="str">
        <f aca="false">IF(D12&gt;0,E12/D12*100,"")</f>
        <v/>
      </c>
      <c r="G12" s="10"/>
      <c r="H12" s="10" t="str">
        <f aca="false">IF(E12&lt;&gt;"",E12-G12,"")</f>
        <v/>
      </c>
      <c r="I12" s="10"/>
      <c r="J12" s="10"/>
      <c r="K12" s="11" t="str">
        <f aca="false">IF(F12="","",IF(AND(F12&gt;=90,F12&lt;=110),"✓ PASS","✗ FAIL"))</f>
        <v/>
      </c>
      <c r="L12" s="10"/>
    </row>
    <row r="13" customFormat="false" ht="15" hidden="false" customHeight="true" outlineLevel="0" collapsed="false">
      <c r="A13" s="12" t="s">
        <v>69</v>
      </c>
      <c r="B13" s="12"/>
      <c r="C13" s="12"/>
      <c r="D13" s="12"/>
      <c r="E13" s="12"/>
      <c r="F13" s="12" t="str">
        <f aca="false">IF(D13&gt;0,E13/D13*100,"")</f>
        <v/>
      </c>
      <c r="G13" s="12"/>
      <c r="H13" s="12" t="str">
        <f aca="false">IF(E13&lt;&gt;"",E13-G13,"")</f>
        <v/>
      </c>
      <c r="I13" s="12"/>
      <c r="J13" s="12"/>
      <c r="K13" s="13" t="str">
        <f aca="false">IF(F13="","",IF(AND(F13&gt;=90,F13&lt;=110),"✓ PASS","✗ FAIL"))</f>
        <v/>
      </c>
      <c r="L13" s="12"/>
    </row>
    <row r="14" customFormat="false" ht="15" hidden="false" customHeight="true" outlineLevel="0" collapsed="false">
      <c r="A14" s="10" t="s">
        <v>70</v>
      </c>
      <c r="B14" s="10"/>
      <c r="C14" s="10"/>
      <c r="D14" s="10"/>
      <c r="E14" s="10"/>
      <c r="F14" s="10" t="str">
        <f aca="false">IF(D14&gt;0,E14/D14*100,"")</f>
        <v/>
      </c>
      <c r="G14" s="10"/>
      <c r="H14" s="10" t="str">
        <f aca="false">IF(E14&lt;&gt;"",E14-G14,"")</f>
        <v/>
      </c>
      <c r="I14" s="10"/>
      <c r="J14" s="10"/>
      <c r="K14" s="11" t="str">
        <f aca="false">IF(F14="","",IF(AND(F14&gt;=90,F14&lt;=110),"✓ PASS","✗ FAIL"))</f>
        <v/>
      </c>
      <c r="L14" s="10"/>
    </row>
    <row r="15" customFormat="false" ht="15" hidden="false" customHeight="true" outlineLevel="0" collapsed="false">
      <c r="A15" s="12" t="s">
        <v>71</v>
      </c>
      <c r="B15" s="12"/>
      <c r="C15" s="12"/>
      <c r="D15" s="12"/>
      <c r="E15" s="12"/>
      <c r="F15" s="12" t="str">
        <f aca="false">IF(D15&gt;0,E15/D15*100,"")</f>
        <v/>
      </c>
      <c r="G15" s="12"/>
      <c r="H15" s="12" t="str">
        <f aca="false">IF(E15&lt;&gt;"",E15-G15,"")</f>
        <v/>
      </c>
      <c r="I15" s="12"/>
      <c r="J15" s="12"/>
      <c r="K15" s="13" t="str">
        <f aca="false">IF(F15="","",IF(AND(F15&gt;=90,F15&lt;=110),"✓ PASS","✗ FAIL"))</f>
        <v/>
      </c>
      <c r="L15" s="12"/>
    </row>
    <row r="16" customFormat="false" ht="15" hidden="false" customHeight="true" outlineLevel="0" collapsed="false">
      <c r="A16" s="10" t="s">
        <v>72</v>
      </c>
      <c r="B16" s="10"/>
      <c r="C16" s="10"/>
      <c r="D16" s="10"/>
      <c r="E16" s="10"/>
      <c r="F16" s="10" t="str">
        <f aca="false">IF(D16&gt;0,E16/D16*100,"")</f>
        <v/>
      </c>
      <c r="G16" s="10"/>
      <c r="H16" s="10" t="str">
        <f aca="false">IF(E16&lt;&gt;"",E16-G16,"")</f>
        <v/>
      </c>
      <c r="I16" s="10"/>
      <c r="J16" s="10"/>
      <c r="K16" s="11" t="str">
        <f aca="false">IF(F16="","",IF(AND(F16&gt;=90,F16&lt;=110),"✓ PASS","✗ FAIL"))</f>
        <v/>
      </c>
      <c r="L16" s="10"/>
    </row>
    <row r="17" customFormat="false" ht="15" hidden="false" customHeight="true" outlineLevel="0" collapsed="false">
      <c r="A17" s="12" t="s">
        <v>73</v>
      </c>
      <c r="B17" s="12"/>
      <c r="C17" s="12"/>
      <c r="D17" s="12"/>
      <c r="E17" s="12"/>
      <c r="F17" s="12" t="str">
        <f aca="false">IF(D17&gt;0,E17/D17*100,"")</f>
        <v/>
      </c>
      <c r="G17" s="12"/>
      <c r="H17" s="12" t="str">
        <f aca="false">IF(E17&lt;&gt;"",E17-G17,"")</f>
        <v/>
      </c>
      <c r="I17" s="12"/>
      <c r="J17" s="12"/>
      <c r="K17" s="13" t="str">
        <f aca="false">IF(F17="","",IF(AND(F17&gt;=90,F17&lt;=110),"✓ PASS","✗ FAIL"))</f>
        <v/>
      </c>
      <c r="L17" s="12"/>
    </row>
    <row r="18" customFormat="false" ht="15" hidden="false" customHeight="true" outlineLevel="0" collapsed="false">
      <c r="A18" s="10" t="s">
        <v>74</v>
      </c>
      <c r="B18" s="10"/>
      <c r="C18" s="10"/>
      <c r="D18" s="10"/>
      <c r="E18" s="10"/>
      <c r="F18" s="10" t="str">
        <f aca="false">IF(D18&gt;0,E18/D18*100,"")</f>
        <v/>
      </c>
      <c r="G18" s="10"/>
      <c r="H18" s="10" t="str">
        <f aca="false">IF(E18&lt;&gt;"",E18-G18,"")</f>
        <v/>
      </c>
      <c r="I18" s="10"/>
      <c r="J18" s="10"/>
      <c r="K18" s="11" t="str">
        <f aca="false">IF(F18="","",IF(AND(F18&gt;=90,F18&lt;=110),"✓ PASS","✗ FAIL"))</f>
        <v/>
      </c>
      <c r="L18" s="10"/>
    </row>
    <row r="19" customFormat="false" ht="15" hidden="false" customHeight="true" outlineLevel="0" collapsed="false">
      <c r="A19" s="12" t="s">
        <v>75</v>
      </c>
      <c r="B19" s="12"/>
      <c r="C19" s="12"/>
      <c r="D19" s="12"/>
      <c r="E19" s="12"/>
      <c r="F19" s="12" t="str">
        <f aca="false">IF(D19&gt;0,E19/D19*100,"")</f>
        <v/>
      </c>
      <c r="G19" s="12"/>
      <c r="H19" s="12" t="str">
        <f aca="false">IF(E19&lt;&gt;"",E19-G19,"")</f>
        <v/>
      </c>
      <c r="I19" s="12"/>
      <c r="J19" s="12"/>
      <c r="K19" s="13" t="str">
        <f aca="false">IF(F19="","",IF(AND(F19&gt;=90,F19&lt;=110),"✓ PASS","✗ FAIL"))</f>
        <v/>
      </c>
      <c r="L19" s="12"/>
    </row>
    <row r="20" customFormat="false" ht="15" hidden="false" customHeight="true" outlineLevel="0" collapsed="false">
      <c r="A20" s="10" t="s">
        <v>76</v>
      </c>
      <c r="B20" s="10"/>
      <c r="C20" s="10"/>
      <c r="D20" s="10"/>
      <c r="E20" s="10"/>
      <c r="F20" s="10" t="str">
        <f aca="false">IF(D20&gt;0,E20/D20*100,"")</f>
        <v/>
      </c>
      <c r="G20" s="10"/>
      <c r="H20" s="10" t="str">
        <f aca="false">IF(E20&lt;&gt;"",E20-G20,"")</f>
        <v/>
      </c>
      <c r="I20" s="10"/>
      <c r="J20" s="10"/>
      <c r="K20" s="11" t="str">
        <f aca="false">IF(F20="","",IF(AND(F20&gt;=90,F20&lt;=110),"✓ PASS","✗ FAIL"))</f>
        <v/>
      </c>
      <c r="L20" s="10"/>
    </row>
    <row r="21" customFormat="false" ht="15" hidden="false" customHeight="true" outlineLevel="0" collapsed="false">
      <c r="A21" s="12" t="s">
        <v>77</v>
      </c>
      <c r="B21" s="12"/>
      <c r="C21" s="12"/>
      <c r="D21" s="12"/>
      <c r="E21" s="12"/>
      <c r="F21" s="12" t="str">
        <f aca="false">IF(D21&gt;0,E21/D21*100,"")</f>
        <v/>
      </c>
      <c r="G21" s="12"/>
      <c r="H21" s="12" t="str">
        <f aca="false">IF(E21&lt;&gt;"",E21-G21,"")</f>
        <v/>
      </c>
      <c r="I21" s="12"/>
      <c r="J21" s="12"/>
      <c r="K21" s="13" t="str">
        <f aca="false">IF(F21="","",IF(AND(F21&gt;=90,F21&lt;=110),"✓ PASS","✗ FAIL"))</f>
        <v/>
      </c>
      <c r="L21" s="12"/>
    </row>
    <row r="22" customFormat="false" ht="15" hidden="false" customHeight="true" outlineLevel="0" collapsed="false">
      <c r="A22" s="10" t="s">
        <v>78</v>
      </c>
      <c r="B22" s="10"/>
      <c r="C22" s="10"/>
      <c r="D22" s="10"/>
      <c r="E22" s="10"/>
      <c r="F22" s="10" t="str">
        <f aca="false">IF(D22&gt;0,E22/D22*100,"")</f>
        <v/>
      </c>
      <c r="G22" s="10"/>
      <c r="H22" s="10" t="str">
        <f aca="false">IF(E22&lt;&gt;"",E22-G22,"")</f>
        <v/>
      </c>
      <c r="I22" s="10"/>
      <c r="J22" s="10"/>
      <c r="K22" s="11" t="str">
        <f aca="false">IF(F22="","",IF(AND(F22&gt;=90,F22&lt;=110),"✓ PASS","✗ FAIL"))</f>
        <v/>
      </c>
      <c r="L22" s="10"/>
    </row>
    <row r="23" customFormat="false" ht="15" hidden="false" customHeight="true" outlineLevel="0" collapsed="false">
      <c r="A23" s="12" t="s">
        <v>79</v>
      </c>
      <c r="B23" s="12"/>
      <c r="C23" s="12"/>
      <c r="D23" s="12"/>
      <c r="E23" s="12"/>
      <c r="F23" s="12" t="str">
        <f aca="false">IF(D23&gt;0,E23/D23*100,"")</f>
        <v/>
      </c>
      <c r="G23" s="12"/>
      <c r="H23" s="12" t="str">
        <f aca="false">IF(E23&lt;&gt;"",E23-G23,"")</f>
        <v/>
      </c>
      <c r="I23" s="12"/>
      <c r="J23" s="12"/>
      <c r="K23" s="13" t="str">
        <f aca="false">IF(F23="","",IF(AND(F23&gt;=90,F23&lt;=110),"✓ PASS","✗ FAIL"))</f>
        <v/>
      </c>
      <c r="L23" s="12"/>
    </row>
    <row r="24" customFormat="false" ht="16.5" hidden="false" customHeight="true" outlineLevel="0" collapsed="false">
      <c r="A24" s="14" t="s">
        <v>80</v>
      </c>
      <c r="B24" s="14"/>
      <c r="D24" s="15" t="n">
        <f aca="false">SUM(D4:D23)</f>
        <v>0</v>
      </c>
      <c r="E24" s="15" t="n">
        <f aca="false">SUM(E4:E23)</f>
        <v>0</v>
      </c>
      <c r="F24" s="15" t="str">
        <f aca="false">IF(D24&gt;0,E24/D24*100,"")</f>
        <v/>
      </c>
      <c r="G24" s="15" t="n">
        <f aca="false">SUM(G4:G23)</f>
        <v>0</v>
      </c>
      <c r="H24" s="15" t="n">
        <f aca="false">SUM(H4:H23)</f>
        <v>0</v>
      </c>
    </row>
    <row r="25" customFormat="false" ht="4.5" hidden="false" customHeight="true" outlineLevel="0" collapsed="false"/>
    <row r="26" customFormat="false" ht="21.75" hidden="false" customHeight="true" outlineLevel="0" collapsed="false">
      <c r="A26" s="4" t="s">
        <v>81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.75" hidden="false" customHeight="true" outlineLevel="0" collapsed="false">
      <c r="A27" s="5" t="s">
        <v>82</v>
      </c>
      <c r="B27" s="5"/>
      <c r="C27" s="5"/>
      <c r="D27" s="16" t="n">
        <f aca="false">D24</f>
        <v>0</v>
      </c>
      <c r="G27" s="5" t="s">
        <v>83</v>
      </c>
      <c r="H27" s="5"/>
      <c r="I27" s="5"/>
      <c r="J27" s="16" t="s">
        <v>84</v>
      </c>
    </row>
    <row r="28" customFormat="false" ht="15.75" hidden="false" customHeight="true" outlineLevel="0" collapsed="false">
      <c r="A28" s="5" t="s">
        <v>85</v>
      </c>
      <c r="B28" s="5"/>
      <c r="C28" s="5"/>
      <c r="D28" s="16" t="n">
        <f aca="false">E24</f>
        <v>0</v>
      </c>
      <c r="G28" s="5" t="s">
        <v>86</v>
      </c>
      <c r="H28" s="5"/>
      <c r="I28" s="5"/>
      <c r="J28" s="16" t="str">
        <f aca="false">IF(AND(F24&gt;=90,F24&lt;=110),"✓ BALANCED","✗ REBALANCE REQUIRED")</f>
        <v>✗ REBALANCE REQUIRED</v>
      </c>
    </row>
    <row r="29" customFormat="false" ht="15.75" hidden="false" customHeight="true" outlineLevel="0" collapsed="false">
      <c r="A29" s="5" t="s">
        <v>87</v>
      </c>
      <c r="B29" s="5"/>
      <c r="C29" s="5"/>
      <c r="D29" s="16" t="str">
        <f aca="false">IF(D24&gt;0,E24/D24*100,"")</f>
        <v/>
      </c>
      <c r="G29" s="5" t="s">
        <v>88</v>
      </c>
      <c r="H29" s="5"/>
      <c r="I29" s="5"/>
      <c r="J29" s="16" t="n">
        <f aca="false">COUNTA(A4:A23)</f>
        <v>20</v>
      </c>
    </row>
    <row r="30" customFormat="false" ht="15.75" hidden="false" customHeight="true" outlineLevel="0" collapsed="false">
      <c r="A30" s="5" t="s">
        <v>89</v>
      </c>
      <c r="B30" s="5"/>
      <c r="C30" s="5"/>
      <c r="D30" s="16" t="n">
        <f aca="false">E24-G24</f>
        <v>0</v>
      </c>
      <c r="G30" s="5" t="s">
        <v>90</v>
      </c>
      <c r="H30" s="5"/>
      <c r="I30" s="5"/>
      <c r="J30" s="16" t="n">
        <f aca="false">COUNTIF(H4:H23,0)</f>
        <v>0</v>
      </c>
    </row>
    <row r="31" customFormat="false" ht="4.5" hidden="false" customHeight="true" outlineLevel="0" collapsed="false"/>
    <row r="32" customFormat="false" ht="18" hidden="false" customHeight="true" outlineLevel="0" collapsed="false">
      <c r="A32" s="8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</sheetData>
  <mergeCells count="14">
    <mergeCell ref="A1:F1"/>
    <mergeCell ref="G1:L1"/>
    <mergeCell ref="A2:L2"/>
    <mergeCell ref="A24:B24"/>
    <mergeCell ref="A26:L26"/>
    <mergeCell ref="A27:C27"/>
    <mergeCell ref="G27:I27"/>
    <mergeCell ref="A28:C28"/>
    <mergeCell ref="G28:I28"/>
    <mergeCell ref="A29:C29"/>
    <mergeCell ref="G29:I29"/>
    <mergeCell ref="A30:C30"/>
    <mergeCell ref="G30:I30"/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9" t="s">
        <v>92</v>
      </c>
      <c r="B3" s="9" t="s">
        <v>49</v>
      </c>
      <c r="C3" s="9" t="s">
        <v>93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94</v>
      </c>
      <c r="J3" s="9" t="s">
        <v>95</v>
      </c>
      <c r="K3" s="9" t="s">
        <v>58</v>
      </c>
      <c r="L3" s="9" t="s">
        <v>59</v>
      </c>
    </row>
    <row r="4" customFormat="false" ht="15" hidden="false" customHeight="true" outlineLevel="0" collapsed="false">
      <c r="A4" s="10" t="s">
        <v>96</v>
      </c>
      <c r="B4" s="10"/>
      <c r="C4" s="10"/>
      <c r="D4" s="10"/>
      <c r="E4" s="10"/>
      <c r="F4" s="10" t="str">
        <f aca="false">IF(D4&gt;0,E4/D4*100,"")</f>
        <v/>
      </c>
      <c r="G4" s="10"/>
      <c r="H4" s="10" t="str">
        <f aca="false">IF(E4&lt;&gt;"",E4-G4,"")</f>
        <v/>
      </c>
      <c r="I4" s="10"/>
      <c r="J4" s="10"/>
      <c r="K4" s="11" t="str">
        <f aca="false">IF(F4="","",IF(AND(F4&gt;=90,F4&lt;=110),"✓ PASS","✗ FAIL"))</f>
        <v/>
      </c>
      <c r="L4" s="10"/>
    </row>
    <row r="5" customFormat="false" ht="15" hidden="false" customHeight="true" outlineLevel="0" collapsed="false">
      <c r="A5" s="12" t="s">
        <v>97</v>
      </c>
      <c r="B5" s="12"/>
      <c r="C5" s="12"/>
      <c r="D5" s="12"/>
      <c r="E5" s="12"/>
      <c r="F5" s="12" t="str">
        <f aca="false">IF(D5&gt;0,E5/D5*100,"")</f>
        <v/>
      </c>
      <c r="G5" s="12"/>
      <c r="H5" s="12" t="str">
        <f aca="false">IF(E5&lt;&gt;"",E5-G5,"")</f>
        <v/>
      </c>
      <c r="I5" s="12"/>
      <c r="J5" s="12"/>
      <c r="K5" s="13" t="str">
        <f aca="false">IF(F5="","",IF(AND(F5&gt;=90,F5&lt;=110),"✓ PASS","✗ FAIL"))</f>
        <v/>
      </c>
      <c r="L5" s="12"/>
    </row>
    <row r="6" customFormat="false" ht="15" hidden="false" customHeight="true" outlineLevel="0" collapsed="false">
      <c r="A6" s="10" t="s">
        <v>98</v>
      </c>
      <c r="B6" s="10"/>
      <c r="C6" s="10"/>
      <c r="D6" s="10"/>
      <c r="E6" s="10"/>
      <c r="F6" s="10" t="str">
        <f aca="false">IF(D6&gt;0,E6/D6*100,"")</f>
        <v/>
      </c>
      <c r="G6" s="10"/>
      <c r="H6" s="10" t="str">
        <f aca="false">IF(E6&lt;&gt;"",E6-G6,"")</f>
        <v/>
      </c>
      <c r="I6" s="10"/>
      <c r="J6" s="10"/>
      <c r="K6" s="11" t="str">
        <f aca="false">IF(F6="","",IF(AND(F6&gt;=90,F6&lt;=110),"✓ PASS","✗ FAIL"))</f>
        <v/>
      </c>
      <c r="L6" s="10"/>
    </row>
    <row r="7" customFormat="false" ht="15" hidden="false" customHeight="true" outlineLevel="0" collapsed="false">
      <c r="A7" s="12" t="s">
        <v>99</v>
      </c>
      <c r="B7" s="12"/>
      <c r="C7" s="12"/>
      <c r="D7" s="12"/>
      <c r="E7" s="12"/>
      <c r="F7" s="12" t="str">
        <f aca="false">IF(D7&gt;0,E7/D7*100,"")</f>
        <v/>
      </c>
      <c r="G7" s="12"/>
      <c r="H7" s="12" t="str">
        <f aca="false">IF(E7&lt;&gt;"",E7-G7,"")</f>
        <v/>
      </c>
      <c r="I7" s="12"/>
      <c r="J7" s="12"/>
      <c r="K7" s="13" t="str">
        <f aca="false">IF(F7="","",IF(AND(F7&gt;=90,F7&lt;=110),"✓ PASS","✗ FAIL"))</f>
        <v/>
      </c>
      <c r="L7" s="12"/>
    </row>
    <row r="8" customFormat="false" ht="15" hidden="false" customHeight="true" outlineLevel="0" collapsed="false">
      <c r="A8" s="10" t="s">
        <v>100</v>
      </c>
      <c r="B8" s="10"/>
      <c r="C8" s="10"/>
      <c r="D8" s="10"/>
      <c r="E8" s="10"/>
      <c r="F8" s="10" t="str">
        <f aca="false">IF(D8&gt;0,E8/D8*100,"")</f>
        <v/>
      </c>
      <c r="G8" s="10"/>
      <c r="H8" s="10" t="str">
        <f aca="false">IF(E8&lt;&gt;"",E8-G8,"")</f>
        <v/>
      </c>
      <c r="I8" s="10"/>
      <c r="J8" s="10"/>
      <c r="K8" s="11" t="str">
        <f aca="false">IF(F8="","",IF(AND(F8&gt;=90,F8&lt;=110),"✓ PASS","✗ FAIL"))</f>
        <v/>
      </c>
      <c r="L8" s="10"/>
    </row>
    <row r="9" customFormat="false" ht="15" hidden="false" customHeight="true" outlineLevel="0" collapsed="false">
      <c r="A9" s="12" t="s">
        <v>101</v>
      </c>
      <c r="B9" s="12"/>
      <c r="C9" s="12"/>
      <c r="D9" s="12"/>
      <c r="E9" s="12"/>
      <c r="F9" s="12" t="str">
        <f aca="false">IF(D9&gt;0,E9/D9*100,"")</f>
        <v/>
      </c>
      <c r="G9" s="12"/>
      <c r="H9" s="12" t="str">
        <f aca="false">IF(E9&lt;&gt;"",E9-G9,"")</f>
        <v/>
      </c>
      <c r="I9" s="12"/>
      <c r="J9" s="12"/>
      <c r="K9" s="13" t="str">
        <f aca="false">IF(F9="","",IF(AND(F9&gt;=90,F9&lt;=110),"✓ PASS","✗ FAIL"))</f>
        <v/>
      </c>
      <c r="L9" s="12"/>
    </row>
    <row r="10" customFormat="false" ht="15" hidden="false" customHeight="true" outlineLevel="0" collapsed="false">
      <c r="A10" s="10" t="s">
        <v>102</v>
      </c>
      <c r="B10" s="10"/>
      <c r="C10" s="10"/>
      <c r="D10" s="10"/>
      <c r="E10" s="10"/>
      <c r="F10" s="10" t="str">
        <f aca="false">IF(D10&gt;0,E10/D10*100,"")</f>
        <v/>
      </c>
      <c r="G10" s="10"/>
      <c r="H10" s="10" t="str">
        <f aca="false">IF(E10&lt;&gt;"",E10-G10,"")</f>
        <v/>
      </c>
      <c r="I10" s="10"/>
      <c r="J10" s="10"/>
      <c r="K10" s="11" t="str">
        <f aca="false">IF(F10="","",IF(AND(F10&gt;=90,F10&lt;=110),"✓ PASS","✗ FAIL"))</f>
        <v/>
      </c>
      <c r="L10" s="10"/>
    </row>
    <row r="11" customFormat="false" ht="15" hidden="false" customHeight="true" outlineLevel="0" collapsed="false">
      <c r="A11" s="12" t="s">
        <v>103</v>
      </c>
      <c r="B11" s="12"/>
      <c r="C11" s="12"/>
      <c r="D11" s="12"/>
      <c r="E11" s="12"/>
      <c r="F11" s="12" t="str">
        <f aca="false">IF(D11&gt;0,E11/D11*100,"")</f>
        <v/>
      </c>
      <c r="G11" s="12"/>
      <c r="H11" s="12" t="str">
        <f aca="false">IF(E11&lt;&gt;"",E11-G11,"")</f>
        <v/>
      </c>
      <c r="I11" s="12"/>
      <c r="J11" s="12"/>
      <c r="K11" s="13" t="str">
        <f aca="false">IF(F11="","",IF(AND(F11&gt;=90,F11&lt;=110),"✓ PASS","✗ FAIL"))</f>
        <v/>
      </c>
      <c r="L11" s="12"/>
    </row>
    <row r="12" customFormat="false" ht="15" hidden="false" customHeight="true" outlineLevel="0" collapsed="false">
      <c r="A12" s="10" t="s">
        <v>104</v>
      </c>
      <c r="B12" s="10"/>
      <c r="C12" s="10"/>
      <c r="D12" s="10"/>
      <c r="E12" s="10"/>
      <c r="F12" s="10" t="str">
        <f aca="false">IF(D12&gt;0,E12/D12*100,"")</f>
        <v/>
      </c>
      <c r="G12" s="10"/>
      <c r="H12" s="10" t="str">
        <f aca="false">IF(E12&lt;&gt;"",E12-G12,"")</f>
        <v/>
      </c>
      <c r="I12" s="10"/>
      <c r="J12" s="10"/>
      <c r="K12" s="11" t="str">
        <f aca="false">IF(F12="","",IF(AND(F12&gt;=90,F12&lt;=110),"✓ PASS","✗ FAIL"))</f>
        <v/>
      </c>
      <c r="L12" s="10"/>
    </row>
    <row r="13" customFormat="false" ht="15" hidden="false" customHeight="true" outlineLevel="0" collapsed="false">
      <c r="A13" s="12" t="s">
        <v>105</v>
      </c>
      <c r="B13" s="12"/>
      <c r="C13" s="12"/>
      <c r="D13" s="12"/>
      <c r="E13" s="12"/>
      <c r="F13" s="12" t="str">
        <f aca="false">IF(D13&gt;0,E13/D13*100,"")</f>
        <v/>
      </c>
      <c r="G13" s="12"/>
      <c r="H13" s="12" t="str">
        <f aca="false">IF(E13&lt;&gt;"",E13-G13,"")</f>
        <v/>
      </c>
      <c r="I13" s="12"/>
      <c r="J13" s="12"/>
      <c r="K13" s="13" t="str">
        <f aca="false">IF(F13="","",IF(AND(F13&gt;=90,F13&lt;=110),"✓ PASS","✗ FAIL"))</f>
        <v/>
      </c>
      <c r="L13" s="12"/>
    </row>
    <row r="14" customFormat="false" ht="15" hidden="false" customHeight="true" outlineLevel="0" collapsed="false">
      <c r="A14" s="10" t="s">
        <v>106</v>
      </c>
      <c r="B14" s="10"/>
      <c r="C14" s="10"/>
      <c r="D14" s="10"/>
      <c r="E14" s="10"/>
      <c r="F14" s="10" t="str">
        <f aca="false">IF(D14&gt;0,E14/D14*100,"")</f>
        <v/>
      </c>
      <c r="G14" s="10"/>
      <c r="H14" s="10" t="str">
        <f aca="false">IF(E14&lt;&gt;"",E14-G14,"")</f>
        <v/>
      </c>
      <c r="I14" s="10"/>
      <c r="J14" s="10"/>
      <c r="K14" s="11" t="str">
        <f aca="false">IF(F14="","",IF(AND(F14&gt;=90,F14&lt;=110),"✓ PASS","✗ FAIL"))</f>
        <v/>
      </c>
      <c r="L14" s="10"/>
    </row>
    <row r="15" customFormat="false" ht="15" hidden="false" customHeight="true" outlineLevel="0" collapsed="false">
      <c r="A15" s="12" t="s">
        <v>107</v>
      </c>
      <c r="B15" s="12"/>
      <c r="C15" s="12"/>
      <c r="D15" s="12"/>
      <c r="E15" s="12"/>
      <c r="F15" s="12" t="str">
        <f aca="false">IF(D15&gt;0,E15/D15*100,"")</f>
        <v/>
      </c>
      <c r="G15" s="12"/>
      <c r="H15" s="12" t="str">
        <f aca="false">IF(E15&lt;&gt;"",E15-G15,"")</f>
        <v/>
      </c>
      <c r="I15" s="12"/>
      <c r="J15" s="12"/>
      <c r="K15" s="13" t="str">
        <f aca="false">IF(F15="","",IF(AND(F15&gt;=90,F15&lt;=110),"✓ PASS","✗ FAIL"))</f>
        <v/>
      </c>
      <c r="L15" s="12"/>
    </row>
    <row r="16" customFormat="false" ht="16.5" hidden="false" customHeight="true" outlineLevel="0" collapsed="false">
      <c r="A16" s="17" t="s">
        <v>108</v>
      </c>
      <c r="B16" s="17"/>
      <c r="D16" s="18" t="n">
        <f aca="false">SUM(D4:D15)</f>
        <v>0</v>
      </c>
      <c r="E16" s="18" t="n">
        <f aca="false">SUM(E4:E15)</f>
        <v>0</v>
      </c>
      <c r="F16" s="18" t="str">
        <f aca="false">IF(D16&gt;0,E16/D16*100,"")</f>
        <v/>
      </c>
      <c r="H16" s="18" t="n">
        <f aca="false">SUM(H4:H15)</f>
        <v>0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4" t="s">
        <v>109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8" hidden="false" customHeight="true" outlineLevel="0" collapsed="false">
      <c r="A19" s="9" t="s">
        <v>110</v>
      </c>
      <c r="B19" s="9" t="s">
        <v>49</v>
      </c>
      <c r="C19" s="9" t="s">
        <v>111</v>
      </c>
      <c r="D19" s="9" t="s">
        <v>51</v>
      </c>
      <c r="E19" s="9" t="s">
        <v>52</v>
      </c>
      <c r="F19" s="9" t="s">
        <v>53</v>
      </c>
      <c r="G19" s="9" t="s">
        <v>54</v>
      </c>
      <c r="H19" s="9" t="s">
        <v>55</v>
      </c>
      <c r="I19" s="9" t="s">
        <v>112</v>
      </c>
      <c r="J19" s="9" t="s">
        <v>113</v>
      </c>
      <c r="K19" s="9" t="s">
        <v>58</v>
      </c>
      <c r="L19" s="9" t="s">
        <v>59</v>
      </c>
    </row>
    <row r="20" customFormat="false" ht="15" hidden="false" customHeight="true" outlineLevel="0" collapsed="false">
      <c r="A20" s="10" t="s">
        <v>114</v>
      </c>
      <c r="B20" s="10"/>
      <c r="C20" s="10"/>
      <c r="D20" s="10"/>
      <c r="E20" s="10"/>
      <c r="F20" s="10" t="str">
        <f aca="false">IF(D20&gt;0,E20/D20*100,"")</f>
        <v/>
      </c>
      <c r="G20" s="10"/>
      <c r="H20" s="10" t="str">
        <f aca="false">IF(E20&lt;&gt;"",E20-G20,"")</f>
        <v/>
      </c>
      <c r="I20" s="10"/>
      <c r="J20" s="10"/>
      <c r="K20" s="11" t="str">
        <f aca="false">IF(F20="","",IF(AND(F20&gt;=90,F20&lt;=110),"✓ PASS","✗ FAIL"))</f>
        <v/>
      </c>
      <c r="L20" s="10"/>
    </row>
    <row r="21" customFormat="false" ht="15" hidden="false" customHeight="true" outlineLevel="0" collapsed="false">
      <c r="A21" s="12" t="s">
        <v>115</v>
      </c>
      <c r="B21" s="12"/>
      <c r="C21" s="12"/>
      <c r="D21" s="12"/>
      <c r="E21" s="12"/>
      <c r="F21" s="12" t="str">
        <f aca="false">IF(D21&gt;0,E21/D21*100,"")</f>
        <v/>
      </c>
      <c r="G21" s="12"/>
      <c r="H21" s="12" t="str">
        <f aca="false">IF(E21&lt;&gt;"",E21-G21,"")</f>
        <v/>
      </c>
      <c r="I21" s="12"/>
      <c r="J21" s="12"/>
      <c r="K21" s="13" t="str">
        <f aca="false">IF(F21="","",IF(AND(F21&gt;=90,F21&lt;=110),"✓ PASS","✗ FAIL"))</f>
        <v/>
      </c>
      <c r="L21" s="12"/>
    </row>
    <row r="22" customFormat="false" ht="15" hidden="false" customHeight="true" outlineLevel="0" collapsed="false">
      <c r="A22" s="10" t="s">
        <v>116</v>
      </c>
      <c r="B22" s="10"/>
      <c r="C22" s="10"/>
      <c r="D22" s="10"/>
      <c r="E22" s="10"/>
      <c r="F22" s="10" t="str">
        <f aca="false">IF(D22&gt;0,E22/D22*100,"")</f>
        <v/>
      </c>
      <c r="G22" s="10"/>
      <c r="H22" s="10" t="str">
        <f aca="false">IF(E22&lt;&gt;"",E22-G22,"")</f>
        <v/>
      </c>
      <c r="I22" s="10"/>
      <c r="J22" s="10"/>
      <c r="K22" s="11" t="str">
        <f aca="false">IF(F22="","",IF(AND(F22&gt;=90,F22&lt;=110),"✓ PASS","✗ FAIL"))</f>
        <v/>
      </c>
      <c r="L22" s="10"/>
    </row>
    <row r="23" customFormat="false" ht="15" hidden="false" customHeight="true" outlineLevel="0" collapsed="false">
      <c r="A23" s="12" t="s">
        <v>117</v>
      </c>
      <c r="B23" s="12"/>
      <c r="C23" s="12"/>
      <c r="D23" s="12"/>
      <c r="E23" s="12"/>
      <c r="F23" s="12" t="str">
        <f aca="false">IF(D23&gt;0,E23/D23*100,"")</f>
        <v/>
      </c>
      <c r="G23" s="12"/>
      <c r="H23" s="12" t="str">
        <f aca="false">IF(E23&lt;&gt;"",E23-G23,"")</f>
        <v/>
      </c>
      <c r="I23" s="12"/>
      <c r="J23" s="12"/>
      <c r="K23" s="13" t="str">
        <f aca="false">IF(F23="","",IF(AND(F23&gt;=90,F23&lt;=110),"✓ PASS","✗ FAIL"))</f>
        <v/>
      </c>
      <c r="L23" s="12"/>
    </row>
    <row r="24" customFormat="false" ht="15" hidden="false" customHeight="true" outlineLevel="0" collapsed="false">
      <c r="A24" s="10" t="s">
        <v>118</v>
      </c>
      <c r="B24" s="10"/>
      <c r="C24" s="10"/>
      <c r="D24" s="10"/>
      <c r="E24" s="10"/>
      <c r="F24" s="10" t="str">
        <f aca="false">IF(D24&gt;0,E24/D24*100,"")</f>
        <v/>
      </c>
      <c r="G24" s="10"/>
      <c r="H24" s="10" t="str">
        <f aca="false">IF(E24&lt;&gt;"",E24-G24,"")</f>
        <v/>
      </c>
      <c r="I24" s="10"/>
      <c r="J24" s="10"/>
      <c r="K24" s="11" t="str">
        <f aca="false">IF(F24="","",IF(AND(F24&gt;=90,F24&lt;=110),"✓ PASS","✗ FAIL"))</f>
        <v/>
      </c>
      <c r="L24" s="10"/>
    </row>
    <row r="25" customFormat="false" ht="15" hidden="false" customHeight="true" outlineLevel="0" collapsed="false">
      <c r="A25" s="12" t="s">
        <v>119</v>
      </c>
      <c r="B25" s="12"/>
      <c r="C25" s="12"/>
      <c r="D25" s="12"/>
      <c r="E25" s="12"/>
      <c r="F25" s="12" t="str">
        <f aca="false">IF(D25&gt;0,E25/D25*100,"")</f>
        <v/>
      </c>
      <c r="G25" s="12"/>
      <c r="H25" s="12" t="str">
        <f aca="false">IF(E25&lt;&gt;"",E25-G25,"")</f>
        <v/>
      </c>
      <c r="I25" s="12"/>
      <c r="J25" s="12"/>
      <c r="K25" s="13" t="str">
        <f aca="false">IF(F25="","",IF(AND(F25&gt;=90,F25&lt;=110),"✓ PASS","✗ FAIL"))</f>
        <v/>
      </c>
      <c r="L25" s="12"/>
    </row>
    <row r="26" customFormat="false" ht="15" hidden="false" customHeight="true" outlineLevel="0" collapsed="false">
      <c r="A26" s="10" t="s">
        <v>120</v>
      </c>
      <c r="B26" s="10"/>
      <c r="C26" s="10"/>
      <c r="D26" s="10"/>
      <c r="E26" s="10"/>
      <c r="F26" s="10" t="str">
        <f aca="false">IF(D26&gt;0,E26/D26*100,"")</f>
        <v/>
      </c>
      <c r="G26" s="10"/>
      <c r="H26" s="10" t="str">
        <f aca="false">IF(E26&lt;&gt;"",E26-G26,"")</f>
        <v/>
      </c>
      <c r="I26" s="10"/>
      <c r="J26" s="10"/>
      <c r="K26" s="11" t="str">
        <f aca="false">IF(F26="","",IF(AND(F26&gt;=90,F26&lt;=110),"✓ PASS","✗ FAIL"))</f>
        <v/>
      </c>
      <c r="L26" s="10"/>
    </row>
    <row r="27" customFormat="false" ht="15" hidden="false" customHeight="true" outlineLevel="0" collapsed="false">
      <c r="A27" s="12" t="s">
        <v>121</v>
      </c>
      <c r="B27" s="12"/>
      <c r="C27" s="12"/>
      <c r="D27" s="12"/>
      <c r="E27" s="12"/>
      <c r="F27" s="12" t="str">
        <f aca="false">IF(D27&gt;0,E27/D27*100,"")</f>
        <v/>
      </c>
      <c r="G27" s="12"/>
      <c r="H27" s="12" t="str">
        <f aca="false">IF(E27&lt;&gt;"",E27-G27,"")</f>
        <v/>
      </c>
      <c r="I27" s="12"/>
      <c r="J27" s="12"/>
      <c r="K27" s="13" t="str">
        <f aca="false">IF(F27="","",IF(AND(F27&gt;=90,F27&lt;=110),"✓ PASS","✗ FAIL"))</f>
        <v/>
      </c>
      <c r="L27" s="12"/>
    </row>
    <row r="28" customFormat="false" ht="16.5" hidden="false" customHeight="true" outlineLevel="0" collapsed="false">
      <c r="A28" s="17" t="s">
        <v>122</v>
      </c>
      <c r="B28" s="17"/>
      <c r="D28" s="18" t="n">
        <f aca="false">SUM(D20:D27)</f>
        <v>0</v>
      </c>
      <c r="E28" s="18" t="n">
        <f aca="false">SUM(E20:E27)</f>
        <v>0</v>
      </c>
      <c r="F28" s="18" t="str">
        <f aca="false">IF(D28&gt;0,E28/D28*100,"")</f>
        <v/>
      </c>
      <c r="H28" s="18" t="n">
        <f aca="false">SUM(H20:H27)</f>
        <v>0</v>
      </c>
    </row>
    <row r="29" customFormat="false" ht="4.5" hidden="false" customHeight="true" outlineLevel="0" collapsed="false"/>
    <row r="30" customFormat="false" ht="18" hidden="false" customHeight="true" outlineLevel="0" collapsed="false">
      <c r="A30" s="8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</sheetData>
  <mergeCells count="7">
    <mergeCell ref="A1:F1"/>
    <mergeCell ref="G1:L1"/>
    <mergeCell ref="A2:L2"/>
    <mergeCell ref="A16:B16"/>
    <mergeCell ref="A18:L18"/>
    <mergeCell ref="A28:B28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123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9" t="s">
        <v>124</v>
      </c>
      <c r="B3" s="9" t="s">
        <v>125</v>
      </c>
      <c r="C3" s="9" t="s">
        <v>126</v>
      </c>
      <c r="D3" s="9" t="s">
        <v>127</v>
      </c>
      <c r="E3" s="9" t="s">
        <v>128</v>
      </c>
      <c r="F3" s="9" t="s">
        <v>129</v>
      </c>
      <c r="G3" s="9" t="s">
        <v>58</v>
      </c>
      <c r="H3" s="9" t="s">
        <v>59</v>
      </c>
    </row>
    <row r="4" customFormat="false" ht="15" hidden="false" customHeight="true" outlineLevel="0" collapsed="false">
      <c r="A4" s="19" t="s">
        <v>130</v>
      </c>
      <c r="B4" s="10"/>
      <c r="C4" s="10"/>
      <c r="D4" s="10" t="s">
        <v>131</v>
      </c>
      <c r="E4" s="10" t="str">
        <f aca="false">IF(C4&lt;&gt;"",C4-B4,"")</f>
        <v/>
      </c>
      <c r="F4" s="10" t="s">
        <v>84</v>
      </c>
      <c r="G4" s="10"/>
      <c r="H4" s="10"/>
    </row>
    <row r="5" customFormat="false" ht="15" hidden="false" customHeight="true" outlineLevel="0" collapsed="false">
      <c r="A5" s="19" t="s">
        <v>132</v>
      </c>
      <c r="B5" s="12"/>
      <c r="C5" s="12"/>
      <c r="D5" s="12" t="s">
        <v>131</v>
      </c>
      <c r="E5" s="12" t="str">
        <f aca="false">IF(C5&lt;&gt;"",C5-B5,"")</f>
        <v/>
      </c>
      <c r="F5" s="12" t="s">
        <v>84</v>
      </c>
      <c r="G5" s="12"/>
      <c r="H5" s="12"/>
    </row>
    <row r="6" customFormat="false" ht="15" hidden="false" customHeight="true" outlineLevel="0" collapsed="false">
      <c r="A6" s="19" t="s">
        <v>133</v>
      </c>
      <c r="B6" s="10"/>
      <c r="C6" s="10"/>
      <c r="D6" s="10" t="s">
        <v>131</v>
      </c>
      <c r="E6" s="10" t="str">
        <f aca="false">IF(C6&lt;&gt;"",C6-B6,"")</f>
        <v/>
      </c>
      <c r="F6" s="10" t="s">
        <v>84</v>
      </c>
      <c r="G6" s="10"/>
      <c r="H6" s="10"/>
    </row>
    <row r="7" customFormat="false" ht="15" hidden="false" customHeight="true" outlineLevel="0" collapsed="false">
      <c r="A7" s="19" t="s">
        <v>134</v>
      </c>
      <c r="B7" s="12"/>
      <c r="C7" s="12"/>
      <c r="D7" s="12" t="s">
        <v>135</v>
      </c>
      <c r="E7" s="12" t="str">
        <f aca="false">IF(C7&lt;&gt;"",C7-B7,"")</f>
        <v/>
      </c>
      <c r="F7" s="12" t="s">
        <v>136</v>
      </c>
      <c r="G7" s="12"/>
      <c r="H7" s="12"/>
    </row>
    <row r="8" customFormat="false" ht="15" hidden="false" customHeight="true" outlineLevel="0" collapsed="false">
      <c r="A8" s="19" t="s">
        <v>137</v>
      </c>
      <c r="B8" s="10"/>
      <c r="C8" s="10"/>
      <c r="D8" s="10" t="s">
        <v>135</v>
      </c>
      <c r="E8" s="10" t="str">
        <f aca="false">IF(C8&lt;&gt;"",C8-B8,"")</f>
        <v/>
      </c>
      <c r="F8" s="10" t="s">
        <v>136</v>
      </c>
      <c r="G8" s="10"/>
      <c r="H8" s="10"/>
    </row>
    <row r="9" customFormat="false" ht="15" hidden="false" customHeight="true" outlineLevel="0" collapsed="false">
      <c r="A9" s="19" t="s">
        <v>138</v>
      </c>
      <c r="B9" s="12"/>
      <c r="C9" s="12"/>
      <c r="D9" s="12" t="s">
        <v>135</v>
      </c>
      <c r="E9" s="12" t="str">
        <f aca="false">IF(C9&lt;&gt;"",C9-B9,"")</f>
        <v/>
      </c>
      <c r="F9" s="12" t="s">
        <v>136</v>
      </c>
      <c r="G9" s="12"/>
      <c r="H9" s="12"/>
    </row>
    <row r="10" customFormat="false" ht="15" hidden="false" customHeight="true" outlineLevel="0" collapsed="false">
      <c r="A10" s="19" t="s">
        <v>139</v>
      </c>
      <c r="B10" s="10"/>
      <c r="C10" s="10"/>
      <c r="D10" s="10" t="s">
        <v>140</v>
      </c>
      <c r="E10" s="10" t="str">
        <f aca="false">IF(C10&lt;&gt;"",C10-B10,"")</f>
        <v/>
      </c>
      <c r="F10" s="10" t="s">
        <v>141</v>
      </c>
      <c r="G10" s="10"/>
      <c r="H10" s="10"/>
    </row>
    <row r="11" customFormat="false" ht="15" hidden="false" customHeight="true" outlineLevel="0" collapsed="false">
      <c r="A11" s="19" t="s">
        <v>142</v>
      </c>
      <c r="B11" s="12"/>
      <c r="C11" s="12"/>
      <c r="D11" s="12" t="s">
        <v>143</v>
      </c>
      <c r="E11" s="12" t="str">
        <f aca="false">IF(C11&lt;&gt;"",C11-B11,"")</f>
        <v/>
      </c>
      <c r="F11" s="12" t="s">
        <v>144</v>
      </c>
      <c r="G11" s="12"/>
      <c r="H11" s="12"/>
    </row>
    <row r="12" customFormat="false" ht="15" hidden="false" customHeight="true" outlineLevel="0" collapsed="false">
      <c r="A12" s="19" t="s">
        <v>145</v>
      </c>
      <c r="B12" s="10"/>
      <c r="C12" s="10"/>
      <c r="D12" s="10" t="s">
        <v>143</v>
      </c>
      <c r="E12" s="10" t="str">
        <f aca="false">IF(C12&lt;&gt;"",C12-B12,"")</f>
        <v/>
      </c>
      <c r="F12" s="10" t="s">
        <v>146</v>
      </c>
      <c r="G12" s="10"/>
      <c r="H12" s="10"/>
    </row>
    <row r="13" customFormat="false" ht="15" hidden="false" customHeight="true" outlineLevel="0" collapsed="false">
      <c r="A13" s="19" t="s">
        <v>113</v>
      </c>
      <c r="B13" s="12"/>
      <c r="C13" s="12"/>
      <c r="D13" s="12" t="s">
        <v>147</v>
      </c>
      <c r="E13" s="12" t="str">
        <f aca="false">IF(C13&lt;&gt;"",C13-B13,"")</f>
        <v/>
      </c>
      <c r="F13" s="12" t="s">
        <v>144</v>
      </c>
      <c r="G13" s="12"/>
      <c r="H13" s="12"/>
    </row>
    <row r="14" customFormat="false" ht="15" hidden="false" customHeight="true" outlineLevel="0" collapsed="false">
      <c r="A14" s="19" t="s">
        <v>148</v>
      </c>
      <c r="B14" s="10"/>
      <c r="C14" s="10"/>
      <c r="D14" s="10"/>
      <c r="E14" s="10" t="str">
        <f aca="false">IF(C14&lt;&gt;"",C14-B14,"")</f>
        <v/>
      </c>
      <c r="F14" s="10" t="s">
        <v>144</v>
      </c>
      <c r="G14" s="10"/>
      <c r="H14" s="10"/>
    </row>
    <row r="15" customFormat="false" ht="15" hidden="false" customHeight="true" outlineLevel="0" collapsed="false">
      <c r="A15" s="19" t="s">
        <v>149</v>
      </c>
      <c r="B15" s="12"/>
      <c r="C15" s="12"/>
      <c r="D15" s="12" t="s">
        <v>150</v>
      </c>
      <c r="E15" s="12" t="str">
        <f aca="false">IF(C15&lt;&gt;"",C15-B15,"")</f>
        <v/>
      </c>
      <c r="F15" s="12" t="s">
        <v>144</v>
      </c>
      <c r="G15" s="12"/>
      <c r="H15" s="12"/>
    </row>
    <row r="16" customFormat="false" ht="15" hidden="false" customHeight="true" outlineLevel="0" collapsed="false">
      <c r="A16" s="19" t="s">
        <v>151</v>
      </c>
      <c r="B16" s="10"/>
      <c r="C16" s="10"/>
      <c r="D16" s="10" t="s">
        <v>150</v>
      </c>
      <c r="E16" s="10" t="str">
        <f aca="false">IF(C16&lt;&gt;"",C16-B16,"")</f>
        <v/>
      </c>
      <c r="F16" s="10" t="s">
        <v>144</v>
      </c>
      <c r="G16" s="10"/>
      <c r="H16" s="10"/>
    </row>
    <row r="17" customFormat="false" ht="15" hidden="false" customHeight="true" outlineLevel="0" collapsed="false">
      <c r="A17" s="19" t="s">
        <v>152</v>
      </c>
      <c r="B17" s="12"/>
      <c r="C17" s="12"/>
      <c r="D17" s="12" t="s">
        <v>150</v>
      </c>
      <c r="E17" s="12" t="str">
        <f aca="false">IF(C17&lt;&gt;"",C17-B17,"")</f>
        <v/>
      </c>
      <c r="F17" s="12" t="s">
        <v>144</v>
      </c>
      <c r="G17" s="12"/>
      <c r="H17" s="12"/>
    </row>
    <row r="18" customFormat="false" ht="15" hidden="false" customHeight="true" outlineLevel="0" collapsed="false">
      <c r="A18" s="19" t="s">
        <v>153</v>
      </c>
      <c r="B18" s="10"/>
      <c r="C18" s="10"/>
      <c r="D18" s="10" t="s">
        <v>150</v>
      </c>
      <c r="E18" s="10" t="str">
        <f aca="false">IF(C18&lt;&gt;"",C18-B18,"")</f>
        <v/>
      </c>
      <c r="F18" s="10" t="s">
        <v>144</v>
      </c>
      <c r="G18" s="10"/>
      <c r="H18" s="10"/>
    </row>
    <row r="19" customFormat="false" ht="15" hidden="false" customHeight="true" outlineLevel="0" collapsed="false">
      <c r="A19" s="19" t="s">
        <v>154</v>
      </c>
      <c r="B19" s="12"/>
      <c r="C19" s="12"/>
      <c r="D19" s="12" t="s">
        <v>135</v>
      </c>
      <c r="E19" s="12" t="str">
        <f aca="false">IF(C19&lt;&gt;"",C19-B19,"")</f>
        <v/>
      </c>
      <c r="F19" s="12" t="s">
        <v>155</v>
      </c>
      <c r="G19" s="12"/>
      <c r="H19" s="12"/>
    </row>
    <row r="20" customFormat="false" ht="15" hidden="false" customHeight="true" outlineLevel="0" collapsed="false">
      <c r="A20" s="19" t="s">
        <v>156</v>
      </c>
      <c r="B20" s="10"/>
      <c r="C20" s="10"/>
      <c r="D20" s="10"/>
      <c r="E20" s="10" t="str">
        <f aca="false">IF(C20&lt;&gt;"",C20-B20,"")</f>
        <v/>
      </c>
      <c r="F20" s="10" t="s">
        <v>144</v>
      </c>
      <c r="G20" s="10"/>
      <c r="H20" s="10"/>
    </row>
    <row r="21" customFormat="false" ht="15" hidden="false" customHeight="true" outlineLevel="0" collapsed="false">
      <c r="A21" s="19" t="s">
        <v>157</v>
      </c>
      <c r="B21" s="12"/>
      <c r="C21" s="12"/>
      <c r="D21" s="12" t="s">
        <v>158</v>
      </c>
      <c r="E21" s="12" t="str">
        <f aca="false">IF(C21&lt;&gt;"",C21-B21,"")</f>
        <v/>
      </c>
      <c r="F21" s="12" t="s">
        <v>144</v>
      </c>
      <c r="G21" s="12"/>
      <c r="H21" s="12"/>
    </row>
    <row r="22" customFormat="false" ht="15" hidden="false" customHeight="true" outlineLevel="0" collapsed="false">
      <c r="A22" s="19" t="s">
        <v>159</v>
      </c>
      <c r="B22" s="10"/>
      <c r="C22" s="10"/>
      <c r="D22" s="10" t="s">
        <v>150</v>
      </c>
      <c r="E22" s="10" t="str">
        <f aca="false">IF(C22&lt;&gt;"",C22-B22,"")</f>
        <v/>
      </c>
      <c r="F22" s="10" t="s">
        <v>144</v>
      </c>
      <c r="G22" s="10"/>
      <c r="H22" s="10"/>
    </row>
    <row r="23" customFormat="false" ht="4.5" hidden="false" customHeight="true" outlineLevel="0" collapsed="false"/>
    <row r="24" customFormat="false" ht="21.75" hidden="false" customHeight="true" outlineLevel="0" collapsed="false">
      <c r="A24" s="4" t="s">
        <v>160</v>
      </c>
      <c r="B24" s="4"/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A25" s="19" t="s">
        <v>161</v>
      </c>
      <c r="B25" s="10"/>
      <c r="C25" s="10"/>
      <c r="D25" s="10" t="s">
        <v>150</v>
      </c>
      <c r="E25" s="10" t="str">
        <f aca="false">IF(C25&lt;&gt;"",C25-B25,"")</f>
        <v/>
      </c>
      <c r="F25" s="10"/>
      <c r="G25" s="10"/>
      <c r="H25" s="10"/>
    </row>
    <row r="26" customFormat="false" ht="15" hidden="false" customHeight="true" outlineLevel="0" collapsed="false">
      <c r="A26" s="19" t="s">
        <v>162</v>
      </c>
      <c r="B26" s="12"/>
      <c r="C26" s="12"/>
      <c r="D26" s="12" t="s">
        <v>150</v>
      </c>
      <c r="E26" s="12" t="str">
        <f aca="false">IF(C26&lt;&gt;"",C26-B26,"")</f>
        <v/>
      </c>
      <c r="F26" s="12"/>
      <c r="G26" s="12"/>
      <c r="H26" s="12"/>
    </row>
    <row r="27" customFormat="false" ht="15" hidden="false" customHeight="true" outlineLevel="0" collapsed="false">
      <c r="A27" s="19" t="s">
        <v>163</v>
      </c>
      <c r="B27" s="10"/>
      <c r="C27" s="10"/>
      <c r="D27" s="10" t="s">
        <v>150</v>
      </c>
      <c r="E27" s="10" t="str">
        <f aca="false">IF(C27&lt;&gt;"",C27-B27,"")</f>
        <v/>
      </c>
      <c r="F27" s="10"/>
      <c r="G27" s="10"/>
      <c r="H27" s="10"/>
    </row>
    <row r="28" customFormat="false" ht="15" hidden="false" customHeight="true" outlineLevel="0" collapsed="false">
      <c r="A28" s="19" t="s">
        <v>164</v>
      </c>
      <c r="B28" s="12"/>
      <c r="C28" s="12"/>
      <c r="D28" s="12" t="s">
        <v>150</v>
      </c>
      <c r="E28" s="12" t="str">
        <f aca="false">IF(C28&lt;&gt;"",C28-B28,"")</f>
        <v/>
      </c>
      <c r="F28" s="12"/>
      <c r="G28" s="12"/>
      <c r="H28" s="12"/>
    </row>
    <row r="29" customFormat="false" ht="15" hidden="false" customHeight="true" outlineLevel="0" collapsed="false">
      <c r="A29" s="19" t="s">
        <v>165</v>
      </c>
      <c r="B29" s="10"/>
      <c r="C29" s="10"/>
      <c r="D29" s="10" t="s">
        <v>150</v>
      </c>
      <c r="E29" s="10" t="str">
        <f aca="false">IF(C29&lt;&gt;"",C29-B29,"")</f>
        <v/>
      </c>
      <c r="F29" s="10"/>
      <c r="G29" s="10"/>
      <c r="H29" s="10"/>
    </row>
    <row r="30" customFormat="false" ht="15" hidden="false" customHeight="true" outlineLevel="0" collapsed="false">
      <c r="A30" s="19" t="s">
        <v>166</v>
      </c>
      <c r="B30" s="12"/>
      <c r="C30" s="12"/>
      <c r="D30" s="12" t="s">
        <v>150</v>
      </c>
      <c r="E30" s="12" t="str">
        <f aca="false">IF(C30&lt;&gt;"",C30-B30,"")</f>
        <v/>
      </c>
      <c r="F30" s="12"/>
      <c r="G30" s="12"/>
      <c r="H30" s="12"/>
    </row>
    <row r="31" customFormat="false" ht="15" hidden="false" customHeight="true" outlineLevel="0" collapsed="false">
      <c r="A31" s="19" t="s">
        <v>167</v>
      </c>
      <c r="B31" s="10"/>
      <c r="C31" s="10"/>
      <c r="D31" s="10" t="s">
        <v>150</v>
      </c>
      <c r="E31" s="10" t="str">
        <f aca="false">IF(C31&lt;&gt;"",C31-B31,"")</f>
        <v/>
      </c>
      <c r="F31" s="10"/>
      <c r="G31" s="10"/>
      <c r="H31" s="10"/>
    </row>
    <row r="32" customFormat="false" ht="15" hidden="false" customHeight="true" outlineLevel="0" collapsed="false">
      <c r="A32" s="19" t="s">
        <v>168</v>
      </c>
      <c r="B32" s="12"/>
      <c r="C32" s="12"/>
      <c r="D32" s="12" t="s">
        <v>150</v>
      </c>
      <c r="E32" s="12" t="str">
        <f aca="false">IF(C32&lt;&gt;"",C32-B32,"")</f>
        <v/>
      </c>
      <c r="F32" s="12"/>
      <c r="G32" s="12"/>
      <c r="H32" s="12"/>
    </row>
    <row r="33" customFormat="false" ht="15" hidden="false" customHeight="true" outlineLevel="0" collapsed="false">
      <c r="A33" s="19" t="s">
        <v>169</v>
      </c>
      <c r="B33" s="10"/>
      <c r="C33" s="10"/>
      <c r="D33" s="10" t="s">
        <v>150</v>
      </c>
      <c r="E33" s="10" t="str">
        <f aca="false">IF(C33&lt;&gt;"",C33-B33,"")</f>
        <v/>
      </c>
      <c r="F33" s="10"/>
      <c r="G33" s="10"/>
      <c r="H33" s="10"/>
    </row>
    <row r="34" customFormat="false" ht="15" hidden="false" customHeight="true" outlineLevel="0" collapsed="false">
      <c r="A34" s="19" t="s">
        <v>170</v>
      </c>
      <c r="B34" s="12"/>
      <c r="C34" s="12"/>
      <c r="D34" s="12" t="s">
        <v>150</v>
      </c>
      <c r="E34" s="12" t="str">
        <f aca="false">IF(C34&lt;&gt;"",C34-B34,"")</f>
        <v/>
      </c>
      <c r="F34" s="12"/>
      <c r="G34" s="12"/>
      <c r="H34" s="12"/>
    </row>
    <row r="35" customFormat="false" ht="4.5" hidden="false" customHeight="true" outlineLevel="0" collapsed="false"/>
    <row r="36" customFormat="false" ht="18" hidden="false" customHeight="true" outlineLevel="0" collapsed="false">
      <c r="A36" s="8" t="s">
        <v>46</v>
      </c>
      <c r="B36" s="8"/>
      <c r="C36" s="8"/>
      <c r="D36" s="8"/>
      <c r="E36" s="8"/>
      <c r="F36" s="8"/>
      <c r="G36" s="8"/>
      <c r="H36" s="8"/>
    </row>
  </sheetData>
  <mergeCells count="5">
    <mergeCell ref="A1:D1"/>
    <mergeCell ref="E1:H1"/>
    <mergeCell ref="A2:H2"/>
    <mergeCell ref="A24:H2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8" min="8" style="0" width="14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9" t="s">
        <v>172</v>
      </c>
      <c r="B3" s="9" t="s">
        <v>173</v>
      </c>
      <c r="C3" s="9" t="s">
        <v>174</v>
      </c>
      <c r="D3" s="9" t="s">
        <v>175</v>
      </c>
      <c r="E3" s="9" t="s">
        <v>176</v>
      </c>
      <c r="F3" s="9" t="s">
        <v>177</v>
      </c>
      <c r="G3" s="9" t="s">
        <v>178</v>
      </c>
      <c r="H3" s="9" t="s">
        <v>179</v>
      </c>
      <c r="I3" s="9" t="s">
        <v>180</v>
      </c>
      <c r="J3" s="9" t="s">
        <v>181</v>
      </c>
      <c r="K3" s="9" t="s">
        <v>58</v>
      </c>
      <c r="L3" s="9" t="s">
        <v>59</v>
      </c>
    </row>
    <row r="4" customFormat="false" ht="15" hidden="false" customHeight="true" outlineLevel="0" collapsed="false">
      <c r="A4" s="10" t="s">
        <v>182</v>
      </c>
      <c r="B4" s="10"/>
      <c r="C4" s="10"/>
      <c r="D4" s="10"/>
      <c r="E4" s="10"/>
      <c r="F4" s="10"/>
      <c r="G4" s="10" t="str">
        <f aca="false">IF(C4&gt;0,E4*C4,"")</f>
        <v/>
      </c>
      <c r="H4" s="10"/>
      <c r="I4" s="10"/>
      <c r="J4" s="10" t="str">
        <f aca="false">IF(H4&lt;&gt;"",H4-I4,"")</f>
        <v/>
      </c>
      <c r="K4" s="11" t="str">
        <f aca="false">IF(F4="","",IF(AND(G4&gt;=F4*0.9,G4&lt;=F4*1.1),"✓ PASS","✗ FAIL"))</f>
        <v/>
      </c>
      <c r="L4" s="10"/>
    </row>
    <row r="5" customFormat="false" ht="15" hidden="false" customHeight="true" outlineLevel="0" collapsed="false">
      <c r="A5" s="12" t="s">
        <v>183</v>
      </c>
      <c r="B5" s="12"/>
      <c r="C5" s="12"/>
      <c r="D5" s="12"/>
      <c r="E5" s="12"/>
      <c r="F5" s="12"/>
      <c r="G5" s="12" t="str">
        <f aca="false">IF(C5&gt;0,E5*C5,"")</f>
        <v/>
      </c>
      <c r="H5" s="12"/>
      <c r="I5" s="12"/>
      <c r="J5" s="12" t="str">
        <f aca="false">IF(H5&lt;&gt;"",H5-I5,"")</f>
        <v/>
      </c>
      <c r="K5" s="13" t="str">
        <f aca="false">IF(F5="","",IF(AND(G5&gt;=F5*0.9,G5&lt;=F5*1.1),"✓ PASS","✗ FAIL"))</f>
        <v/>
      </c>
      <c r="L5" s="12"/>
    </row>
    <row r="6" customFormat="false" ht="15" hidden="false" customHeight="true" outlineLevel="0" collapsed="false">
      <c r="A6" s="10" t="s">
        <v>184</v>
      </c>
      <c r="B6" s="10"/>
      <c r="C6" s="10"/>
      <c r="D6" s="10"/>
      <c r="E6" s="10"/>
      <c r="F6" s="10"/>
      <c r="G6" s="10" t="str">
        <f aca="false">IF(C6&gt;0,E6*C6,"")</f>
        <v/>
      </c>
      <c r="H6" s="10"/>
      <c r="I6" s="10"/>
      <c r="J6" s="10" t="str">
        <f aca="false">IF(H6&lt;&gt;"",H6-I6,"")</f>
        <v/>
      </c>
      <c r="K6" s="11" t="str">
        <f aca="false">IF(F6="","",IF(AND(G6&gt;=F6*0.9,G6&lt;=F6*1.1),"✓ PASS","✗ FAIL"))</f>
        <v/>
      </c>
      <c r="L6" s="10"/>
    </row>
    <row r="7" customFormat="false" ht="15" hidden="false" customHeight="true" outlineLevel="0" collapsed="false">
      <c r="A7" s="12" t="s">
        <v>185</v>
      </c>
      <c r="B7" s="12"/>
      <c r="C7" s="12"/>
      <c r="D7" s="12"/>
      <c r="E7" s="12"/>
      <c r="F7" s="12"/>
      <c r="G7" s="12" t="str">
        <f aca="false">IF(C7&gt;0,E7*C7,"")</f>
        <v/>
      </c>
      <c r="H7" s="12"/>
      <c r="I7" s="12"/>
      <c r="J7" s="12" t="str">
        <f aca="false">IF(H7&lt;&gt;"",H7-I7,"")</f>
        <v/>
      </c>
      <c r="K7" s="13" t="str">
        <f aca="false">IF(F7="","",IF(AND(G7&gt;=F7*0.9,G7&lt;=F7*1.1),"✓ PASS","✗ FAIL"))</f>
        <v/>
      </c>
      <c r="L7" s="12"/>
    </row>
    <row r="8" customFormat="false" ht="15" hidden="false" customHeight="true" outlineLevel="0" collapsed="false">
      <c r="A8" s="10" t="s">
        <v>186</v>
      </c>
      <c r="B8" s="10"/>
      <c r="C8" s="10"/>
      <c r="D8" s="10"/>
      <c r="E8" s="10"/>
      <c r="F8" s="10"/>
      <c r="G8" s="10" t="str">
        <f aca="false">IF(C8&gt;0,E8*C8,"")</f>
        <v/>
      </c>
      <c r="H8" s="10"/>
      <c r="I8" s="10"/>
      <c r="J8" s="10" t="str">
        <f aca="false">IF(H8&lt;&gt;"",H8-I8,"")</f>
        <v/>
      </c>
      <c r="K8" s="11" t="str">
        <f aca="false">IF(F8="","",IF(AND(G8&gt;=F8*0.9,G8&lt;=F8*1.1),"✓ PASS","✗ FAIL"))</f>
        <v/>
      </c>
      <c r="L8" s="10"/>
    </row>
    <row r="9" customFormat="false" ht="15" hidden="false" customHeight="true" outlineLevel="0" collapsed="false">
      <c r="A9" s="12" t="s">
        <v>187</v>
      </c>
      <c r="B9" s="12"/>
      <c r="C9" s="12"/>
      <c r="D9" s="12"/>
      <c r="E9" s="12"/>
      <c r="F9" s="12"/>
      <c r="G9" s="12" t="str">
        <f aca="false">IF(C9&gt;0,E9*C9,"")</f>
        <v/>
      </c>
      <c r="H9" s="12"/>
      <c r="I9" s="12"/>
      <c r="J9" s="12" t="str">
        <f aca="false">IF(H9&lt;&gt;"",H9-I9,"")</f>
        <v/>
      </c>
      <c r="K9" s="13" t="str">
        <f aca="false">IF(F9="","",IF(AND(G9&gt;=F9*0.9,G9&lt;=F9*1.1),"✓ PASS","✗ FAIL"))</f>
        <v/>
      </c>
      <c r="L9" s="12"/>
    </row>
    <row r="10" customFormat="false" ht="15" hidden="false" customHeight="true" outlineLevel="0" collapsed="false">
      <c r="A10" s="10" t="s">
        <v>188</v>
      </c>
      <c r="B10" s="10"/>
      <c r="C10" s="10"/>
      <c r="D10" s="10"/>
      <c r="E10" s="10"/>
      <c r="F10" s="10"/>
      <c r="G10" s="10" t="str">
        <f aca="false">IF(C10&gt;0,E10*C10,"")</f>
        <v/>
      </c>
      <c r="H10" s="10"/>
      <c r="I10" s="10"/>
      <c r="J10" s="10" t="str">
        <f aca="false">IF(H10&lt;&gt;"",H10-I10,"")</f>
        <v/>
      </c>
      <c r="K10" s="11" t="str">
        <f aca="false">IF(F10="","",IF(AND(G10&gt;=F10*0.9,G10&lt;=F10*1.1),"✓ PASS","✗ FAIL"))</f>
        <v/>
      </c>
      <c r="L10" s="10"/>
    </row>
    <row r="11" customFormat="false" ht="15" hidden="false" customHeight="true" outlineLevel="0" collapsed="false">
      <c r="A11" s="12" t="s">
        <v>189</v>
      </c>
      <c r="B11" s="12"/>
      <c r="C11" s="12"/>
      <c r="D11" s="12"/>
      <c r="E11" s="12"/>
      <c r="F11" s="12"/>
      <c r="G11" s="12" t="str">
        <f aca="false">IF(C11&gt;0,E11*C11,"")</f>
        <v/>
      </c>
      <c r="H11" s="12"/>
      <c r="I11" s="12"/>
      <c r="J11" s="12" t="str">
        <f aca="false">IF(H11&lt;&gt;"",H11-I11,"")</f>
        <v/>
      </c>
      <c r="K11" s="13" t="str">
        <f aca="false">IF(F11="","",IF(AND(G11&gt;=F11*0.9,G11&lt;=F11*1.1),"✓ PASS","✗ FAIL"))</f>
        <v/>
      </c>
      <c r="L11" s="12"/>
    </row>
    <row r="12" customFormat="false" ht="15" hidden="false" customHeight="true" outlineLevel="0" collapsed="false">
      <c r="A12" s="10" t="s">
        <v>190</v>
      </c>
      <c r="B12" s="10"/>
      <c r="C12" s="10"/>
      <c r="D12" s="10"/>
      <c r="E12" s="10"/>
      <c r="F12" s="10"/>
      <c r="G12" s="10" t="str">
        <f aca="false">IF(C12&gt;0,E12*C12,"")</f>
        <v/>
      </c>
      <c r="H12" s="10"/>
      <c r="I12" s="10"/>
      <c r="J12" s="10" t="str">
        <f aca="false">IF(H12&lt;&gt;"",H12-I12,"")</f>
        <v/>
      </c>
      <c r="K12" s="11" t="str">
        <f aca="false">IF(F12="","",IF(AND(G12&gt;=F12*0.9,G12&lt;=F12*1.1),"✓ PASS","✗ FAIL"))</f>
        <v/>
      </c>
      <c r="L12" s="10"/>
    </row>
    <row r="13" customFormat="false" ht="15" hidden="false" customHeight="true" outlineLevel="0" collapsed="false">
      <c r="A13" s="12" t="s">
        <v>191</v>
      </c>
      <c r="B13" s="12"/>
      <c r="C13" s="12"/>
      <c r="D13" s="12"/>
      <c r="E13" s="12"/>
      <c r="F13" s="12"/>
      <c r="G13" s="12" t="str">
        <f aca="false">IF(C13&gt;0,E13*C13,"")</f>
        <v/>
      </c>
      <c r="H13" s="12"/>
      <c r="I13" s="12"/>
      <c r="J13" s="12" t="str">
        <f aca="false">IF(H13&lt;&gt;"",H13-I13,"")</f>
        <v/>
      </c>
      <c r="K13" s="13" t="str">
        <f aca="false">IF(F13="","",IF(AND(G13&gt;=F13*0.9,G13&lt;=F13*1.1),"✓ PASS","✗ FAIL"))</f>
        <v/>
      </c>
      <c r="L13" s="12"/>
    </row>
    <row r="14" customFormat="false" ht="15" hidden="false" customHeight="true" outlineLevel="0" collapsed="false">
      <c r="A14" s="10" t="s">
        <v>192</v>
      </c>
      <c r="B14" s="10"/>
      <c r="C14" s="10"/>
      <c r="D14" s="10"/>
      <c r="E14" s="10"/>
      <c r="F14" s="10"/>
      <c r="G14" s="10" t="str">
        <f aca="false">IF(C14&gt;0,E14*C14,"")</f>
        <v/>
      </c>
      <c r="H14" s="10"/>
      <c r="I14" s="10"/>
      <c r="J14" s="10" t="str">
        <f aca="false">IF(H14&lt;&gt;"",H14-I14,"")</f>
        <v/>
      </c>
      <c r="K14" s="11" t="str">
        <f aca="false">IF(F14="","",IF(AND(G14&gt;=F14*0.9,G14&lt;=F14*1.1),"✓ PASS","✗ FAIL"))</f>
        <v/>
      </c>
      <c r="L14" s="10"/>
    </row>
    <row r="15" customFormat="false" ht="15" hidden="false" customHeight="true" outlineLevel="0" collapsed="false">
      <c r="A15" s="12" t="s">
        <v>193</v>
      </c>
      <c r="B15" s="12"/>
      <c r="C15" s="12"/>
      <c r="D15" s="12"/>
      <c r="E15" s="12"/>
      <c r="F15" s="12"/>
      <c r="G15" s="12" t="str">
        <f aca="false">IF(C15&gt;0,E15*C15,"")</f>
        <v/>
      </c>
      <c r="H15" s="12"/>
      <c r="I15" s="12"/>
      <c r="J15" s="12" t="str">
        <f aca="false">IF(H15&lt;&gt;"",H15-I15,"")</f>
        <v/>
      </c>
      <c r="K15" s="13" t="str">
        <f aca="false">IF(F15="","",IF(AND(G15&gt;=F15*0.9,G15&lt;=F15*1.1),"✓ PASS","✗ FAIL"))</f>
        <v/>
      </c>
      <c r="L15" s="12"/>
    </row>
    <row r="16" customFormat="false" ht="15" hidden="false" customHeight="true" outlineLevel="0" collapsed="false">
      <c r="A16" s="10" t="s">
        <v>194</v>
      </c>
      <c r="B16" s="10"/>
      <c r="C16" s="10"/>
      <c r="D16" s="10"/>
      <c r="E16" s="10"/>
      <c r="F16" s="10"/>
      <c r="G16" s="10" t="str">
        <f aca="false">IF(C16&gt;0,E16*C16,"")</f>
        <v/>
      </c>
      <c r="H16" s="10"/>
      <c r="I16" s="10"/>
      <c r="J16" s="10" t="str">
        <f aca="false">IF(H16&lt;&gt;"",H16-I16,"")</f>
        <v/>
      </c>
      <c r="K16" s="11" t="str">
        <f aca="false">IF(F16="","",IF(AND(G16&gt;=F16*0.9,G16&lt;=F16*1.1),"✓ PASS","✗ FAIL"))</f>
        <v/>
      </c>
      <c r="L16" s="10"/>
    </row>
    <row r="17" customFormat="false" ht="15" hidden="false" customHeight="true" outlineLevel="0" collapsed="false">
      <c r="A17" s="12" t="s">
        <v>195</v>
      </c>
      <c r="B17" s="12"/>
      <c r="C17" s="12"/>
      <c r="D17" s="12"/>
      <c r="E17" s="12"/>
      <c r="F17" s="12"/>
      <c r="G17" s="12" t="str">
        <f aca="false">IF(C17&gt;0,E17*C17,"")</f>
        <v/>
      </c>
      <c r="H17" s="12"/>
      <c r="I17" s="12"/>
      <c r="J17" s="12" t="str">
        <f aca="false">IF(H17&lt;&gt;"",H17-I17,"")</f>
        <v/>
      </c>
      <c r="K17" s="13" t="str">
        <f aca="false">IF(F17="","",IF(AND(G17&gt;=F17*0.9,G17&lt;=F17*1.1),"✓ PASS","✗ FAIL"))</f>
        <v/>
      </c>
      <c r="L17" s="12"/>
    </row>
    <row r="18" customFormat="false" ht="15" hidden="false" customHeight="true" outlineLevel="0" collapsed="false">
      <c r="A18" s="10" t="s">
        <v>196</v>
      </c>
      <c r="B18" s="10"/>
      <c r="C18" s="10"/>
      <c r="D18" s="10"/>
      <c r="E18" s="10"/>
      <c r="F18" s="10"/>
      <c r="G18" s="10" t="str">
        <f aca="false">IF(C18&gt;0,E18*C18,"")</f>
        <v/>
      </c>
      <c r="H18" s="10"/>
      <c r="I18" s="10"/>
      <c r="J18" s="10" t="str">
        <f aca="false">IF(H18&lt;&gt;"",H18-I18,"")</f>
        <v/>
      </c>
      <c r="K18" s="11" t="str">
        <f aca="false">IF(F18="","",IF(AND(G18&gt;=F18*0.9,G18&lt;=F18*1.1),"✓ PASS","✗ FAIL"))</f>
        <v/>
      </c>
      <c r="L18" s="10"/>
    </row>
    <row r="19" customFormat="false" ht="4.5" hidden="false" customHeight="true" outlineLevel="0" collapsed="false"/>
    <row r="20" customFormat="false" ht="18" hidden="false" customHeight="true" outlineLevel="0" collapsed="false">
      <c r="A20" s="8" t="s">
        <v>46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</sheetData>
  <mergeCells count="4">
    <mergeCell ref="A1:F1"/>
    <mergeCell ref="G1:L1"/>
    <mergeCell ref="A2:L2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9" t="s">
        <v>198</v>
      </c>
      <c r="B3" s="9" t="s">
        <v>49</v>
      </c>
      <c r="C3" s="9" t="s">
        <v>199</v>
      </c>
      <c r="D3" s="9" t="s">
        <v>200</v>
      </c>
      <c r="E3" s="9" t="s">
        <v>201</v>
      </c>
      <c r="F3" s="9" t="s">
        <v>202</v>
      </c>
      <c r="G3" s="9" t="s">
        <v>203</v>
      </c>
      <c r="H3" s="9" t="s">
        <v>204</v>
      </c>
      <c r="I3" s="9" t="s">
        <v>205</v>
      </c>
      <c r="J3" s="9" t="s">
        <v>206</v>
      </c>
      <c r="K3" s="9" t="s">
        <v>58</v>
      </c>
      <c r="L3" s="9" t="s">
        <v>59</v>
      </c>
    </row>
    <row r="4" customFormat="false" ht="15" hidden="false" customHeight="true" outlineLevel="0" collapsed="false">
      <c r="A4" s="10" t="s">
        <v>207</v>
      </c>
      <c r="B4" s="10"/>
      <c r="C4" s="10"/>
      <c r="D4" s="10"/>
      <c r="E4" s="10" t="str">
        <f aca="false">IF(C4&gt;0,D4/C4*100,"")</f>
        <v/>
      </c>
      <c r="F4" s="10"/>
      <c r="G4" s="10"/>
      <c r="H4" s="10" t="str">
        <f aca="false">IF(G4&lt;&gt;"",G4-F4,"")</f>
        <v/>
      </c>
      <c r="I4" s="10"/>
      <c r="J4" s="10"/>
      <c r="K4" s="11" t="str">
        <f aca="false">IF(C4="","",IF(AND(E4&gt;=90,E4&lt;=110),"✓ PASS","✗ FAIL"))</f>
        <v/>
      </c>
      <c r="L4" s="10"/>
    </row>
    <row r="5" customFormat="false" ht="15" hidden="false" customHeight="true" outlineLevel="0" collapsed="false">
      <c r="A5" s="12" t="s">
        <v>208</v>
      </c>
      <c r="B5" s="12"/>
      <c r="C5" s="12"/>
      <c r="D5" s="12"/>
      <c r="E5" s="12" t="str">
        <f aca="false">IF(C5&gt;0,D5/C5*100,"")</f>
        <v/>
      </c>
      <c r="F5" s="12"/>
      <c r="G5" s="12"/>
      <c r="H5" s="12" t="str">
        <f aca="false">IF(G5&lt;&gt;"",G5-F5,"")</f>
        <v/>
      </c>
      <c r="I5" s="12"/>
      <c r="J5" s="12"/>
      <c r="K5" s="13" t="str">
        <f aca="false">IF(C5="","",IF(AND(E5&gt;=90,E5&lt;=110),"✓ PASS","✗ FAIL"))</f>
        <v/>
      </c>
      <c r="L5" s="12"/>
    </row>
    <row r="6" customFormat="false" ht="15" hidden="false" customHeight="true" outlineLevel="0" collapsed="false">
      <c r="A6" s="10" t="s">
        <v>209</v>
      </c>
      <c r="B6" s="10"/>
      <c r="C6" s="10"/>
      <c r="D6" s="10"/>
      <c r="E6" s="10" t="str">
        <f aca="false">IF(C6&gt;0,D6/C6*100,"")</f>
        <v/>
      </c>
      <c r="F6" s="10"/>
      <c r="G6" s="10"/>
      <c r="H6" s="10" t="str">
        <f aca="false">IF(G6&lt;&gt;"",G6-F6,"")</f>
        <v/>
      </c>
      <c r="I6" s="10"/>
      <c r="J6" s="10"/>
      <c r="K6" s="11" t="str">
        <f aca="false">IF(C6="","",IF(AND(E6&gt;=90,E6&lt;=110),"✓ PASS","✗ FAIL"))</f>
        <v/>
      </c>
      <c r="L6" s="10"/>
    </row>
    <row r="7" customFormat="false" ht="15" hidden="false" customHeight="true" outlineLevel="0" collapsed="false">
      <c r="A7" s="12" t="s">
        <v>210</v>
      </c>
      <c r="B7" s="12"/>
      <c r="C7" s="12"/>
      <c r="D7" s="12"/>
      <c r="E7" s="12" t="str">
        <f aca="false">IF(C7&gt;0,D7/C7*100,"")</f>
        <v/>
      </c>
      <c r="F7" s="12"/>
      <c r="G7" s="12"/>
      <c r="H7" s="12" t="str">
        <f aca="false">IF(G7&lt;&gt;"",G7-F7,"")</f>
        <v/>
      </c>
      <c r="I7" s="12"/>
      <c r="J7" s="12"/>
      <c r="K7" s="13" t="str">
        <f aca="false">IF(C7="","",IF(AND(E7&gt;=90,E7&lt;=110),"✓ PASS","✗ FAIL"))</f>
        <v/>
      </c>
      <c r="L7" s="12"/>
    </row>
    <row r="8" customFormat="false" ht="15" hidden="false" customHeight="true" outlineLevel="0" collapsed="false">
      <c r="A8" s="10" t="s">
        <v>211</v>
      </c>
      <c r="B8" s="10"/>
      <c r="C8" s="10"/>
      <c r="D8" s="10"/>
      <c r="E8" s="10" t="str">
        <f aca="false">IF(C8&gt;0,D8/C8*100,"")</f>
        <v/>
      </c>
      <c r="F8" s="10"/>
      <c r="G8" s="10"/>
      <c r="H8" s="10" t="str">
        <f aca="false">IF(G8&lt;&gt;"",G8-F8,"")</f>
        <v/>
      </c>
      <c r="I8" s="10"/>
      <c r="J8" s="10"/>
      <c r="K8" s="11" t="str">
        <f aca="false">IF(C8="","",IF(AND(E8&gt;=90,E8&lt;=110),"✓ PASS","✗ FAIL"))</f>
        <v/>
      </c>
      <c r="L8" s="10"/>
    </row>
    <row r="9" customFormat="false" ht="15" hidden="false" customHeight="true" outlineLevel="0" collapsed="false">
      <c r="A9" s="12" t="s">
        <v>212</v>
      </c>
      <c r="B9" s="12"/>
      <c r="C9" s="12"/>
      <c r="D9" s="12"/>
      <c r="E9" s="12" t="str">
        <f aca="false">IF(C9&gt;0,D9/C9*100,"")</f>
        <v/>
      </c>
      <c r="F9" s="12"/>
      <c r="G9" s="12"/>
      <c r="H9" s="12" t="str">
        <f aca="false">IF(G9&lt;&gt;"",G9-F9,"")</f>
        <v/>
      </c>
      <c r="I9" s="12"/>
      <c r="J9" s="12"/>
      <c r="K9" s="13" t="str">
        <f aca="false">IF(C9="","",IF(AND(E9&gt;=90,E9&lt;=110),"✓ PASS","✗ FAIL"))</f>
        <v/>
      </c>
      <c r="L9" s="12"/>
    </row>
    <row r="10" customFormat="false" ht="15" hidden="false" customHeight="true" outlineLevel="0" collapsed="false">
      <c r="A10" s="10" t="s">
        <v>213</v>
      </c>
      <c r="B10" s="10"/>
      <c r="C10" s="10"/>
      <c r="D10" s="10"/>
      <c r="E10" s="10" t="str">
        <f aca="false">IF(C10&gt;0,D10/C10*100,"")</f>
        <v/>
      </c>
      <c r="F10" s="10"/>
      <c r="G10" s="10"/>
      <c r="H10" s="10" t="str">
        <f aca="false">IF(G10&lt;&gt;"",G10-F10,"")</f>
        <v/>
      </c>
      <c r="I10" s="10"/>
      <c r="J10" s="10"/>
      <c r="K10" s="11" t="str">
        <f aca="false">IF(C10="","",IF(AND(E10&gt;=90,E10&lt;=110),"✓ PASS","✗ FAIL"))</f>
        <v/>
      </c>
      <c r="L10" s="10"/>
    </row>
    <row r="11" customFormat="false" ht="15" hidden="false" customHeight="true" outlineLevel="0" collapsed="false">
      <c r="A11" s="12" t="s">
        <v>214</v>
      </c>
      <c r="B11" s="12"/>
      <c r="C11" s="12"/>
      <c r="D11" s="12"/>
      <c r="E11" s="12" t="str">
        <f aca="false">IF(C11&gt;0,D11/C11*100,"")</f>
        <v/>
      </c>
      <c r="F11" s="12"/>
      <c r="G11" s="12"/>
      <c r="H11" s="12" t="str">
        <f aca="false">IF(G11&lt;&gt;"",G11-F11,"")</f>
        <v/>
      </c>
      <c r="I11" s="12"/>
      <c r="J11" s="12"/>
      <c r="K11" s="13" t="str">
        <f aca="false">IF(C11="","",IF(AND(E11&gt;=90,E11&lt;=110),"✓ PASS","✗ FAIL"))</f>
        <v/>
      </c>
      <c r="L11" s="12"/>
    </row>
    <row r="12" customFormat="false" ht="15" hidden="false" customHeight="true" outlineLevel="0" collapsed="false">
      <c r="A12" s="10" t="s">
        <v>215</v>
      </c>
      <c r="B12" s="10"/>
      <c r="C12" s="10"/>
      <c r="D12" s="10"/>
      <c r="E12" s="10" t="str">
        <f aca="false">IF(C12&gt;0,D12/C12*100,"")</f>
        <v/>
      </c>
      <c r="F12" s="10"/>
      <c r="G12" s="10"/>
      <c r="H12" s="10" t="str">
        <f aca="false">IF(G12&lt;&gt;"",G12-F12,"")</f>
        <v/>
      </c>
      <c r="I12" s="10"/>
      <c r="J12" s="10"/>
      <c r="K12" s="11" t="str">
        <f aca="false">IF(C12="","",IF(AND(E12&gt;=90,E12&lt;=110),"✓ PASS","✗ FAIL"))</f>
        <v/>
      </c>
      <c r="L12" s="10"/>
    </row>
    <row r="13" customFormat="false" ht="15" hidden="false" customHeight="true" outlineLevel="0" collapsed="false">
      <c r="A13" s="12" t="s">
        <v>216</v>
      </c>
      <c r="B13" s="12"/>
      <c r="C13" s="12"/>
      <c r="D13" s="12"/>
      <c r="E13" s="12" t="str">
        <f aca="false">IF(C13&gt;0,D13/C13*100,"")</f>
        <v/>
      </c>
      <c r="F13" s="12"/>
      <c r="G13" s="12"/>
      <c r="H13" s="12" t="str">
        <f aca="false">IF(G13&lt;&gt;"",G13-F13,"")</f>
        <v/>
      </c>
      <c r="I13" s="12"/>
      <c r="J13" s="12"/>
      <c r="K13" s="13" t="str">
        <f aca="false">IF(C13="","",IF(AND(E13&gt;=90,E13&lt;=110),"✓ PASS","✗ FAIL"))</f>
        <v/>
      </c>
      <c r="L13" s="12"/>
    </row>
    <row r="14" customFormat="false" ht="15" hidden="false" customHeight="true" outlineLevel="0" collapsed="false">
      <c r="A14" s="10" t="s">
        <v>217</v>
      </c>
      <c r="B14" s="10"/>
      <c r="C14" s="10"/>
      <c r="D14" s="10"/>
      <c r="E14" s="10" t="str">
        <f aca="false">IF(C14&gt;0,D14/C14*100,"")</f>
        <v/>
      </c>
      <c r="F14" s="10"/>
      <c r="G14" s="10"/>
      <c r="H14" s="10" t="str">
        <f aca="false">IF(G14&lt;&gt;"",G14-F14,"")</f>
        <v/>
      </c>
      <c r="I14" s="10"/>
      <c r="J14" s="10"/>
      <c r="K14" s="11" t="str">
        <f aca="false">IF(C14="","",IF(AND(E14&gt;=90,E14&lt;=110),"✓ PASS","✗ FAIL"))</f>
        <v/>
      </c>
      <c r="L14" s="10"/>
    </row>
    <row r="15" customFormat="false" ht="15" hidden="false" customHeight="true" outlineLevel="0" collapsed="false">
      <c r="A15" s="12" t="s">
        <v>218</v>
      </c>
      <c r="B15" s="12"/>
      <c r="C15" s="12"/>
      <c r="D15" s="12"/>
      <c r="E15" s="12" t="str">
        <f aca="false">IF(C15&gt;0,D15/C15*100,"")</f>
        <v/>
      </c>
      <c r="F15" s="12"/>
      <c r="G15" s="12"/>
      <c r="H15" s="12" t="str">
        <f aca="false">IF(G15&lt;&gt;"",G15-F15,"")</f>
        <v/>
      </c>
      <c r="I15" s="12"/>
      <c r="J15" s="12"/>
      <c r="K15" s="13" t="str">
        <f aca="false">IF(C15="","",IF(AND(E15&gt;=90,E15&lt;=110),"✓ PASS","✗ FAIL"))</f>
        <v/>
      </c>
      <c r="L15" s="12"/>
    </row>
    <row r="16" customFormat="false" ht="15" hidden="false" customHeight="true" outlineLevel="0" collapsed="false">
      <c r="A16" s="10" t="s">
        <v>219</v>
      </c>
      <c r="B16" s="10"/>
      <c r="C16" s="10"/>
      <c r="D16" s="10"/>
      <c r="E16" s="10" t="str">
        <f aca="false">IF(C16&gt;0,D16/C16*100,"")</f>
        <v/>
      </c>
      <c r="F16" s="10"/>
      <c r="G16" s="10"/>
      <c r="H16" s="10" t="str">
        <f aca="false">IF(G16&lt;&gt;"",G16-F16,"")</f>
        <v/>
      </c>
      <c r="I16" s="10"/>
      <c r="J16" s="10"/>
      <c r="K16" s="11" t="str">
        <f aca="false">IF(C16="","",IF(AND(E16&gt;=90,E16&lt;=110),"✓ PASS","✗ FAIL"))</f>
        <v/>
      </c>
      <c r="L16" s="10"/>
    </row>
    <row r="17" customFormat="false" ht="15" hidden="false" customHeight="true" outlineLevel="0" collapsed="false">
      <c r="A17" s="12" t="s">
        <v>220</v>
      </c>
      <c r="B17" s="12"/>
      <c r="C17" s="12"/>
      <c r="D17" s="12"/>
      <c r="E17" s="12" t="str">
        <f aca="false">IF(C17&gt;0,D17/C17*100,"")</f>
        <v/>
      </c>
      <c r="F17" s="12"/>
      <c r="G17" s="12"/>
      <c r="H17" s="12" t="str">
        <f aca="false">IF(G17&lt;&gt;"",G17-F17,"")</f>
        <v/>
      </c>
      <c r="I17" s="12"/>
      <c r="J17" s="12"/>
      <c r="K17" s="13" t="str">
        <f aca="false">IF(C17="","",IF(AND(E17&gt;=90,E17&lt;=110),"✓ PASS","✗ FAIL"))</f>
        <v/>
      </c>
      <c r="L17" s="12"/>
    </row>
    <row r="18" customFormat="false" ht="15" hidden="false" customHeight="true" outlineLevel="0" collapsed="false">
      <c r="A18" s="10" t="s">
        <v>221</v>
      </c>
      <c r="B18" s="10"/>
      <c r="C18" s="10"/>
      <c r="D18" s="10"/>
      <c r="E18" s="10" t="str">
        <f aca="false">IF(C18&gt;0,D18/C18*100,"")</f>
        <v/>
      </c>
      <c r="F18" s="10"/>
      <c r="G18" s="10"/>
      <c r="H18" s="10" t="str">
        <f aca="false">IF(G18&lt;&gt;"",G18-F18,"")</f>
        <v/>
      </c>
      <c r="I18" s="10"/>
      <c r="J18" s="10"/>
      <c r="K18" s="11" t="str">
        <f aca="false">IF(C18="","",IF(AND(E18&gt;=90,E18&lt;=110),"✓ PASS","✗ FAIL"))</f>
        <v/>
      </c>
      <c r="L18" s="10"/>
    </row>
    <row r="19" customFormat="false" ht="15" hidden="false" customHeight="true" outlineLevel="0" collapsed="false">
      <c r="A19" s="12" t="s">
        <v>222</v>
      </c>
      <c r="B19" s="12"/>
      <c r="C19" s="12"/>
      <c r="D19" s="12"/>
      <c r="E19" s="12" t="str">
        <f aca="false">IF(C19&gt;0,D19/C19*100,"")</f>
        <v/>
      </c>
      <c r="F19" s="12"/>
      <c r="G19" s="12"/>
      <c r="H19" s="12" t="str">
        <f aca="false">IF(G19&lt;&gt;"",G19-F19,"")</f>
        <v/>
      </c>
      <c r="I19" s="12"/>
      <c r="J19" s="12"/>
      <c r="K19" s="13" t="str">
        <f aca="false">IF(C19="","",IF(AND(E19&gt;=90,E19&lt;=110),"✓ PASS","✗ FAIL"))</f>
        <v/>
      </c>
      <c r="L19" s="12"/>
    </row>
    <row r="20" customFormat="false" ht="16.5" hidden="false" customHeight="true" outlineLevel="0" collapsed="false">
      <c r="A20" s="14" t="s">
        <v>223</v>
      </c>
      <c r="B20" s="14"/>
      <c r="C20" s="15" t="n">
        <f aca="false">SUM(C4:C19)</f>
        <v>0</v>
      </c>
      <c r="D20" s="15" t="n">
        <f aca="false">SUM(D4:D19)</f>
        <v>0</v>
      </c>
      <c r="E20" s="15" t="str">
        <f aca="false">IF(C20&gt;0,D20/C20*100,"")</f>
        <v/>
      </c>
    </row>
    <row r="21" customFormat="false" ht="4.5" hidden="false" customHeight="true" outlineLevel="0" collapsed="false"/>
    <row r="22" customFormat="false" ht="18" hidden="false" customHeight="true" outlineLevel="0" collapsed="false">
      <c r="A22" s="8" t="s">
        <v>46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</sheetData>
  <mergeCells count="5">
    <mergeCell ref="A1:F1"/>
    <mergeCell ref="G1:L1"/>
    <mergeCell ref="A2:L2"/>
    <mergeCell ref="A20:B20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8"/>
  </cols>
  <sheetData>
    <row r="1" customFormat="false" ht="30" hidden="false" customHeight="true" outlineLevel="0" collapsed="false">
      <c r="A1" s="1" t="s">
        <v>0</v>
      </c>
      <c r="B1" s="1"/>
      <c r="C1" s="2" t="s">
        <v>1</v>
      </c>
      <c r="D1" s="2"/>
      <c r="E1" s="2"/>
    </row>
    <row r="2" customFormat="false" ht="21.75" hidden="false" customHeight="true" outlineLevel="0" collapsed="false">
      <c r="A2" s="4" t="s">
        <v>224</v>
      </c>
      <c r="B2" s="4"/>
      <c r="C2" s="4"/>
      <c r="D2" s="4"/>
      <c r="E2" s="4"/>
    </row>
    <row r="3" customFormat="false" ht="18" hidden="false" customHeight="true" outlineLevel="0" collapsed="false">
      <c r="A3" s="9" t="s">
        <v>225</v>
      </c>
      <c r="B3" s="9" t="s">
        <v>226</v>
      </c>
      <c r="C3" s="9" t="s">
        <v>227</v>
      </c>
      <c r="D3" s="9" t="s">
        <v>228</v>
      </c>
      <c r="E3" s="9" t="s">
        <v>229</v>
      </c>
    </row>
    <row r="4" customFormat="false" ht="16.5" hidden="false" customHeight="true" outlineLevel="0" collapsed="false">
      <c r="A4" s="17" t="s">
        <v>230</v>
      </c>
      <c r="B4" s="17"/>
      <c r="C4" s="17"/>
      <c r="D4" s="17"/>
      <c r="E4" s="17"/>
    </row>
    <row r="5" customFormat="false" ht="15" hidden="false" customHeight="true" outlineLevel="0" collapsed="false">
      <c r="A5" s="20" t="s">
        <v>231</v>
      </c>
      <c r="B5" s="21" t="s">
        <v>232</v>
      </c>
      <c r="C5" s="21" t="s">
        <v>232</v>
      </c>
      <c r="D5" s="21" t="s">
        <v>232</v>
      </c>
      <c r="E5" s="10"/>
    </row>
    <row r="6" customFormat="false" ht="15" hidden="false" customHeight="true" outlineLevel="0" collapsed="false">
      <c r="A6" s="22" t="s">
        <v>233</v>
      </c>
      <c r="B6" s="21" t="s">
        <v>232</v>
      </c>
      <c r="C6" s="21" t="s">
        <v>232</v>
      </c>
      <c r="D6" s="21" t="s">
        <v>232</v>
      </c>
      <c r="E6" s="12"/>
    </row>
    <row r="7" customFormat="false" ht="15" hidden="false" customHeight="true" outlineLevel="0" collapsed="false">
      <c r="A7" s="20" t="s">
        <v>234</v>
      </c>
      <c r="B7" s="21" t="s">
        <v>232</v>
      </c>
      <c r="C7" s="21" t="s">
        <v>232</v>
      </c>
      <c r="D7" s="21" t="s">
        <v>232</v>
      </c>
      <c r="E7" s="10"/>
    </row>
    <row r="8" customFormat="false" ht="15" hidden="false" customHeight="true" outlineLevel="0" collapsed="false">
      <c r="A8" s="22" t="s">
        <v>235</v>
      </c>
      <c r="B8" s="21" t="s">
        <v>232</v>
      </c>
      <c r="C8" s="21" t="s">
        <v>232</v>
      </c>
      <c r="D8" s="21" t="s">
        <v>232</v>
      </c>
      <c r="E8" s="12"/>
    </row>
    <row r="9" customFormat="false" ht="15" hidden="false" customHeight="true" outlineLevel="0" collapsed="false">
      <c r="A9" s="20" t="s">
        <v>236</v>
      </c>
      <c r="B9" s="21" t="s">
        <v>232</v>
      </c>
      <c r="C9" s="21" t="s">
        <v>232</v>
      </c>
      <c r="D9" s="21" t="s">
        <v>232</v>
      </c>
      <c r="E9" s="10"/>
    </row>
    <row r="10" customFormat="false" ht="15" hidden="false" customHeight="true" outlineLevel="0" collapsed="false">
      <c r="A10" s="22" t="s">
        <v>237</v>
      </c>
      <c r="B10" s="21" t="s">
        <v>232</v>
      </c>
      <c r="C10" s="21" t="s">
        <v>232</v>
      </c>
      <c r="D10" s="21" t="s">
        <v>232</v>
      </c>
      <c r="E10" s="12"/>
    </row>
    <row r="11" customFormat="false" ht="15" hidden="false" customHeight="true" outlineLevel="0" collapsed="false">
      <c r="A11" s="20" t="s">
        <v>238</v>
      </c>
      <c r="B11" s="21" t="s">
        <v>232</v>
      </c>
      <c r="C11" s="21" t="s">
        <v>232</v>
      </c>
      <c r="D11" s="21" t="s">
        <v>232</v>
      </c>
      <c r="E11" s="10"/>
    </row>
    <row r="12" customFormat="false" ht="15" hidden="false" customHeight="true" outlineLevel="0" collapsed="false">
      <c r="A12" s="22" t="s">
        <v>239</v>
      </c>
      <c r="B12" s="21" t="s">
        <v>232</v>
      </c>
      <c r="C12" s="21" t="s">
        <v>232</v>
      </c>
      <c r="D12" s="21" t="s">
        <v>232</v>
      </c>
      <c r="E12" s="12"/>
    </row>
    <row r="13" customFormat="false" ht="3.75" hidden="false" customHeight="true" outlineLevel="0" collapsed="false"/>
    <row r="14" customFormat="false" ht="16.5" hidden="false" customHeight="true" outlineLevel="0" collapsed="false">
      <c r="A14" s="17" t="s">
        <v>240</v>
      </c>
      <c r="B14" s="17"/>
      <c r="C14" s="17"/>
      <c r="D14" s="17"/>
      <c r="E14" s="17"/>
    </row>
    <row r="15" customFormat="false" ht="15" hidden="false" customHeight="true" outlineLevel="0" collapsed="false">
      <c r="A15" s="20" t="s">
        <v>241</v>
      </c>
      <c r="B15" s="21" t="s">
        <v>232</v>
      </c>
      <c r="C15" s="21" t="s">
        <v>232</v>
      </c>
      <c r="D15" s="21" t="s">
        <v>232</v>
      </c>
      <c r="E15" s="10"/>
    </row>
    <row r="16" customFormat="false" ht="15" hidden="false" customHeight="true" outlineLevel="0" collapsed="false">
      <c r="A16" s="22" t="s">
        <v>242</v>
      </c>
      <c r="B16" s="21" t="s">
        <v>232</v>
      </c>
      <c r="C16" s="21" t="s">
        <v>232</v>
      </c>
      <c r="D16" s="21" t="s">
        <v>232</v>
      </c>
      <c r="E16" s="12"/>
    </row>
    <row r="17" customFormat="false" ht="15" hidden="false" customHeight="true" outlineLevel="0" collapsed="false">
      <c r="A17" s="20" t="s">
        <v>243</v>
      </c>
      <c r="B17" s="21" t="s">
        <v>232</v>
      </c>
      <c r="C17" s="21" t="s">
        <v>232</v>
      </c>
      <c r="D17" s="21" t="s">
        <v>232</v>
      </c>
      <c r="E17" s="10"/>
    </row>
    <row r="18" customFormat="false" ht="15" hidden="false" customHeight="true" outlineLevel="0" collapsed="false">
      <c r="A18" s="22" t="s">
        <v>244</v>
      </c>
      <c r="B18" s="21" t="s">
        <v>232</v>
      </c>
      <c r="C18" s="21" t="s">
        <v>232</v>
      </c>
      <c r="D18" s="21" t="s">
        <v>232</v>
      </c>
      <c r="E18" s="12"/>
    </row>
    <row r="19" customFormat="false" ht="15" hidden="false" customHeight="true" outlineLevel="0" collapsed="false">
      <c r="A19" s="20" t="s">
        <v>245</v>
      </c>
      <c r="B19" s="21" t="s">
        <v>232</v>
      </c>
      <c r="C19" s="21" t="s">
        <v>232</v>
      </c>
      <c r="D19" s="21" t="s">
        <v>232</v>
      </c>
      <c r="E19" s="10"/>
    </row>
    <row r="20" customFormat="false" ht="15" hidden="false" customHeight="true" outlineLevel="0" collapsed="false">
      <c r="A20" s="22" t="s">
        <v>246</v>
      </c>
      <c r="B20" s="21" t="s">
        <v>232</v>
      </c>
      <c r="C20" s="21" t="s">
        <v>232</v>
      </c>
      <c r="D20" s="21" t="s">
        <v>232</v>
      </c>
      <c r="E20" s="12"/>
    </row>
    <row r="21" customFormat="false" ht="15" hidden="false" customHeight="true" outlineLevel="0" collapsed="false">
      <c r="A21" s="20" t="s">
        <v>247</v>
      </c>
      <c r="B21" s="21" t="s">
        <v>232</v>
      </c>
      <c r="C21" s="21" t="s">
        <v>232</v>
      </c>
      <c r="D21" s="21" t="s">
        <v>232</v>
      </c>
      <c r="E21" s="10"/>
    </row>
    <row r="22" customFormat="false" ht="15" hidden="false" customHeight="true" outlineLevel="0" collapsed="false">
      <c r="A22" s="22" t="s">
        <v>248</v>
      </c>
      <c r="B22" s="21" t="s">
        <v>232</v>
      </c>
      <c r="C22" s="21" t="s">
        <v>232</v>
      </c>
      <c r="D22" s="21" t="s">
        <v>232</v>
      </c>
      <c r="E22" s="12"/>
    </row>
    <row r="23" customFormat="false" ht="3.75" hidden="false" customHeight="true" outlineLevel="0" collapsed="false"/>
    <row r="24" customFormat="false" ht="16.5" hidden="false" customHeight="true" outlineLevel="0" collapsed="false">
      <c r="A24" s="17" t="s">
        <v>249</v>
      </c>
      <c r="B24" s="17"/>
      <c r="C24" s="17"/>
      <c r="D24" s="17"/>
      <c r="E24" s="17"/>
    </row>
    <row r="25" customFormat="false" ht="15" hidden="false" customHeight="true" outlineLevel="0" collapsed="false">
      <c r="A25" s="20" t="s">
        <v>250</v>
      </c>
      <c r="B25" s="21" t="s">
        <v>232</v>
      </c>
      <c r="C25" s="21" t="s">
        <v>232</v>
      </c>
      <c r="D25" s="21" t="s">
        <v>232</v>
      </c>
      <c r="E25" s="10"/>
    </row>
    <row r="26" customFormat="false" ht="15" hidden="false" customHeight="true" outlineLevel="0" collapsed="false">
      <c r="A26" s="22" t="s">
        <v>251</v>
      </c>
      <c r="B26" s="21" t="s">
        <v>232</v>
      </c>
      <c r="C26" s="21" t="s">
        <v>232</v>
      </c>
      <c r="D26" s="21" t="s">
        <v>232</v>
      </c>
      <c r="E26" s="12"/>
    </row>
    <row r="27" customFormat="false" ht="15" hidden="false" customHeight="true" outlineLevel="0" collapsed="false">
      <c r="A27" s="20" t="s">
        <v>252</v>
      </c>
      <c r="B27" s="21" t="s">
        <v>232</v>
      </c>
      <c r="C27" s="21" t="s">
        <v>232</v>
      </c>
      <c r="D27" s="21" t="s">
        <v>232</v>
      </c>
      <c r="E27" s="10"/>
    </row>
    <row r="28" customFormat="false" ht="15" hidden="false" customHeight="true" outlineLevel="0" collapsed="false">
      <c r="A28" s="22" t="s">
        <v>253</v>
      </c>
      <c r="B28" s="21" t="s">
        <v>232</v>
      </c>
      <c r="C28" s="21" t="s">
        <v>232</v>
      </c>
      <c r="D28" s="21" t="s">
        <v>232</v>
      </c>
      <c r="E28" s="12"/>
    </row>
    <row r="29" customFormat="false" ht="15" hidden="false" customHeight="true" outlineLevel="0" collapsed="false">
      <c r="A29" s="20" t="s">
        <v>254</v>
      </c>
      <c r="B29" s="21" t="s">
        <v>232</v>
      </c>
      <c r="C29" s="21" t="s">
        <v>232</v>
      </c>
      <c r="D29" s="21" t="s">
        <v>232</v>
      </c>
      <c r="E29" s="10"/>
    </row>
    <row r="30" customFormat="false" ht="15" hidden="false" customHeight="true" outlineLevel="0" collapsed="false">
      <c r="A30" s="22" t="s">
        <v>255</v>
      </c>
      <c r="B30" s="21" t="s">
        <v>232</v>
      </c>
      <c r="C30" s="21" t="s">
        <v>232</v>
      </c>
      <c r="D30" s="21" t="s">
        <v>232</v>
      </c>
      <c r="E30" s="12"/>
    </row>
    <row r="31" customFormat="false" ht="15" hidden="false" customHeight="true" outlineLevel="0" collapsed="false">
      <c r="A31" s="20" t="s">
        <v>256</v>
      </c>
      <c r="B31" s="21" t="s">
        <v>232</v>
      </c>
      <c r="C31" s="21" t="s">
        <v>232</v>
      </c>
      <c r="D31" s="21" t="s">
        <v>232</v>
      </c>
      <c r="E31" s="10"/>
    </row>
    <row r="32" customFormat="false" ht="15" hidden="false" customHeight="true" outlineLevel="0" collapsed="false">
      <c r="A32" s="22" t="s">
        <v>257</v>
      </c>
      <c r="B32" s="21" t="s">
        <v>232</v>
      </c>
      <c r="C32" s="21" t="s">
        <v>232</v>
      </c>
      <c r="D32" s="21" t="s">
        <v>232</v>
      </c>
      <c r="E32" s="12"/>
    </row>
    <row r="33" customFormat="false" ht="3.75" hidden="false" customHeight="true" outlineLevel="0" collapsed="false"/>
    <row r="34" customFormat="false" ht="16.5" hidden="false" customHeight="true" outlineLevel="0" collapsed="false">
      <c r="A34" s="17" t="s">
        <v>258</v>
      </c>
      <c r="B34" s="17"/>
      <c r="C34" s="17"/>
      <c r="D34" s="17"/>
      <c r="E34" s="17"/>
    </row>
    <row r="35" customFormat="false" ht="15" hidden="false" customHeight="true" outlineLevel="0" collapsed="false">
      <c r="A35" s="20" t="s">
        <v>259</v>
      </c>
      <c r="B35" s="21" t="s">
        <v>232</v>
      </c>
      <c r="C35" s="21" t="s">
        <v>232</v>
      </c>
      <c r="D35" s="21" t="s">
        <v>232</v>
      </c>
      <c r="E35" s="10"/>
    </row>
    <row r="36" customFormat="false" ht="15" hidden="false" customHeight="true" outlineLevel="0" collapsed="false">
      <c r="A36" s="22" t="s">
        <v>260</v>
      </c>
      <c r="B36" s="21" t="s">
        <v>232</v>
      </c>
      <c r="C36" s="21" t="s">
        <v>232</v>
      </c>
      <c r="D36" s="21" t="s">
        <v>232</v>
      </c>
      <c r="E36" s="12"/>
    </row>
    <row r="37" customFormat="false" ht="15" hidden="false" customHeight="true" outlineLevel="0" collapsed="false">
      <c r="A37" s="20" t="s">
        <v>261</v>
      </c>
      <c r="B37" s="21" t="s">
        <v>232</v>
      </c>
      <c r="C37" s="21" t="s">
        <v>232</v>
      </c>
      <c r="D37" s="21" t="s">
        <v>232</v>
      </c>
      <c r="E37" s="10"/>
    </row>
    <row r="38" customFormat="false" ht="15" hidden="false" customHeight="true" outlineLevel="0" collapsed="false">
      <c r="A38" s="22" t="s">
        <v>262</v>
      </c>
      <c r="B38" s="21" t="s">
        <v>232</v>
      </c>
      <c r="C38" s="21" t="s">
        <v>232</v>
      </c>
      <c r="D38" s="21" t="s">
        <v>232</v>
      </c>
      <c r="E38" s="12"/>
    </row>
    <row r="39" customFormat="false" ht="15" hidden="false" customHeight="true" outlineLevel="0" collapsed="false">
      <c r="A39" s="20" t="s">
        <v>263</v>
      </c>
      <c r="B39" s="21" t="s">
        <v>232</v>
      </c>
      <c r="C39" s="21" t="s">
        <v>232</v>
      </c>
      <c r="D39" s="21" t="s">
        <v>232</v>
      </c>
      <c r="E39" s="10"/>
    </row>
    <row r="40" customFormat="false" ht="15" hidden="false" customHeight="true" outlineLevel="0" collapsed="false">
      <c r="A40" s="22" t="s">
        <v>264</v>
      </c>
      <c r="B40" s="21" t="s">
        <v>232</v>
      </c>
      <c r="C40" s="21" t="s">
        <v>232</v>
      </c>
      <c r="D40" s="21" t="s">
        <v>232</v>
      </c>
      <c r="E40" s="12"/>
    </row>
    <row r="41" customFormat="false" ht="3.75" hidden="false" customHeight="true" outlineLevel="0" collapsed="false"/>
    <row r="42" customFormat="false" ht="18" hidden="false" customHeight="true" outlineLevel="0" collapsed="false">
      <c r="A42" s="8" t="s">
        <v>46</v>
      </c>
      <c r="B42" s="8"/>
      <c r="C42" s="8"/>
      <c r="D42" s="8"/>
      <c r="E42" s="8"/>
    </row>
  </sheetData>
  <mergeCells count="8">
    <mergeCell ref="A1:B1"/>
    <mergeCell ref="C1:E1"/>
    <mergeCell ref="A2:E2"/>
    <mergeCell ref="A4:E4"/>
    <mergeCell ref="A14:E14"/>
    <mergeCell ref="A24:E24"/>
    <mergeCell ref="A34:E34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8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265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9" t="s">
        <v>266</v>
      </c>
      <c r="B3" s="9" t="s">
        <v>267</v>
      </c>
      <c r="C3" s="9" t="s">
        <v>268</v>
      </c>
      <c r="D3" s="9" t="s">
        <v>125</v>
      </c>
      <c r="E3" s="9" t="s">
        <v>269</v>
      </c>
      <c r="F3" s="9" t="s">
        <v>127</v>
      </c>
      <c r="G3" s="9" t="s">
        <v>270</v>
      </c>
      <c r="H3" s="9" t="s">
        <v>271</v>
      </c>
    </row>
    <row r="4" customFormat="false" ht="15" hidden="false" customHeight="true" outlineLevel="0" collapsed="false">
      <c r="A4" s="10" t="n">
        <v>1</v>
      </c>
      <c r="B4" s="20"/>
      <c r="C4" s="20"/>
      <c r="D4" s="20"/>
      <c r="E4" s="20"/>
      <c r="F4" s="20"/>
      <c r="G4" s="20"/>
      <c r="H4" s="20"/>
    </row>
    <row r="5" customFormat="false" ht="15" hidden="false" customHeight="true" outlineLevel="0" collapsed="false">
      <c r="A5" s="12" t="n">
        <v>2</v>
      </c>
      <c r="B5" s="22"/>
      <c r="C5" s="22"/>
      <c r="D5" s="22"/>
      <c r="E5" s="22"/>
      <c r="F5" s="22"/>
      <c r="G5" s="22"/>
      <c r="H5" s="22"/>
    </row>
    <row r="6" customFormat="false" ht="15" hidden="false" customHeight="true" outlineLevel="0" collapsed="false">
      <c r="A6" s="10" t="n">
        <v>3</v>
      </c>
      <c r="B6" s="20"/>
      <c r="C6" s="20"/>
      <c r="D6" s="20"/>
      <c r="E6" s="20"/>
      <c r="F6" s="20"/>
      <c r="G6" s="20"/>
      <c r="H6" s="20"/>
    </row>
    <row r="7" customFormat="false" ht="15" hidden="false" customHeight="true" outlineLevel="0" collapsed="false">
      <c r="A7" s="12" t="n">
        <v>4</v>
      </c>
      <c r="B7" s="22"/>
      <c r="C7" s="22"/>
      <c r="D7" s="22"/>
      <c r="E7" s="22"/>
      <c r="F7" s="22"/>
      <c r="G7" s="22"/>
      <c r="H7" s="22"/>
    </row>
    <row r="8" customFormat="false" ht="15" hidden="false" customHeight="true" outlineLevel="0" collapsed="false">
      <c r="A8" s="10" t="n">
        <v>5</v>
      </c>
      <c r="B8" s="20"/>
      <c r="C8" s="20"/>
      <c r="D8" s="20"/>
      <c r="E8" s="20"/>
      <c r="F8" s="20"/>
      <c r="G8" s="20"/>
      <c r="H8" s="20"/>
    </row>
    <row r="9" customFormat="false" ht="15" hidden="false" customHeight="true" outlineLevel="0" collapsed="false">
      <c r="A9" s="12" t="n">
        <v>6</v>
      </c>
      <c r="B9" s="22"/>
      <c r="C9" s="22"/>
      <c r="D9" s="22"/>
      <c r="E9" s="22"/>
      <c r="F9" s="22"/>
      <c r="G9" s="22"/>
      <c r="H9" s="22"/>
    </row>
    <row r="10" customFormat="false" ht="15" hidden="false" customHeight="true" outlineLevel="0" collapsed="false">
      <c r="A10" s="10" t="n">
        <v>7</v>
      </c>
      <c r="B10" s="20"/>
      <c r="C10" s="20"/>
      <c r="D10" s="20"/>
      <c r="E10" s="20"/>
      <c r="F10" s="20"/>
      <c r="G10" s="20"/>
      <c r="H10" s="20"/>
    </row>
    <row r="11" customFormat="false" ht="15" hidden="false" customHeight="true" outlineLevel="0" collapsed="false">
      <c r="A11" s="12" t="n">
        <v>8</v>
      </c>
      <c r="B11" s="22"/>
      <c r="C11" s="22"/>
      <c r="D11" s="22"/>
      <c r="E11" s="22"/>
      <c r="F11" s="22"/>
      <c r="G11" s="22"/>
      <c r="H11" s="22"/>
    </row>
    <row r="12" customFormat="false" ht="15" hidden="false" customHeight="true" outlineLevel="0" collapsed="false">
      <c r="A12" s="10" t="n">
        <v>9</v>
      </c>
      <c r="B12" s="20"/>
      <c r="C12" s="20"/>
      <c r="D12" s="20"/>
      <c r="E12" s="20"/>
      <c r="F12" s="20"/>
      <c r="G12" s="20"/>
      <c r="H12" s="20"/>
    </row>
    <row r="13" customFormat="false" ht="15" hidden="false" customHeight="true" outlineLevel="0" collapsed="false">
      <c r="A13" s="12" t="n">
        <v>10</v>
      </c>
      <c r="B13" s="22"/>
      <c r="C13" s="22"/>
      <c r="D13" s="22"/>
      <c r="E13" s="22"/>
      <c r="F13" s="22"/>
      <c r="G13" s="22"/>
      <c r="H13" s="22"/>
    </row>
    <row r="14" customFormat="false" ht="15" hidden="false" customHeight="true" outlineLevel="0" collapsed="false">
      <c r="A14" s="10" t="n">
        <v>11</v>
      </c>
      <c r="B14" s="20"/>
      <c r="C14" s="20"/>
      <c r="D14" s="20"/>
      <c r="E14" s="20"/>
      <c r="F14" s="20"/>
      <c r="G14" s="20"/>
      <c r="H14" s="20"/>
    </row>
    <row r="15" customFormat="false" ht="15" hidden="false" customHeight="true" outlineLevel="0" collapsed="false">
      <c r="A15" s="12" t="n">
        <v>12</v>
      </c>
      <c r="B15" s="22"/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A16" s="10" t="n">
        <v>13</v>
      </c>
      <c r="B16" s="20"/>
      <c r="C16" s="20"/>
      <c r="D16" s="20"/>
      <c r="E16" s="20"/>
      <c r="F16" s="20"/>
      <c r="G16" s="20"/>
      <c r="H16" s="20"/>
    </row>
    <row r="17" customFormat="false" ht="15" hidden="false" customHeight="true" outlineLevel="0" collapsed="false">
      <c r="A17" s="12" t="n">
        <v>14</v>
      </c>
      <c r="B17" s="22"/>
      <c r="C17" s="22"/>
      <c r="D17" s="22"/>
      <c r="E17" s="22"/>
      <c r="F17" s="22"/>
      <c r="G17" s="22"/>
      <c r="H17" s="22"/>
    </row>
    <row r="18" customFormat="false" ht="15" hidden="false" customHeight="true" outlineLevel="0" collapsed="false">
      <c r="A18" s="10" t="n">
        <v>15</v>
      </c>
      <c r="B18" s="20"/>
      <c r="C18" s="20"/>
      <c r="D18" s="20"/>
      <c r="E18" s="20"/>
      <c r="F18" s="20"/>
      <c r="G18" s="20"/>
      <c r="H18" s="20"/>
    </row>
    <row r="19" customFormat="false" ht="15" hidden="false" customHeight="true" outlineLevel="0" collapsed="false">
      <c r="A19" s="12" t="n">
        <v>16</v>
      </c>
      <c r="B19" s="22"/>
      <c r="C19" s="22"/>
      <c r="D19" s="22"/>
      <c r="E19" s="22"/>
      <c r="F19" s="22"/>
      <c r="G19" s="22"/>
      <c r="H19" s="22"/>
    </row>
    <row r="20" customFormat="false" ht="15" hidden="false" customHeight="true" outlineLevel="0" collapsed="false">
      <c r="A20" s="10" t="n">
        <v>17</v>
      </c>
      <c r="B20" s="20"/>
      <c r="C20" s="20"/>
      <c r="D20" s="20"/>
      <c r="E20" s="20"/>
      <c r="F20" s="20"/>
      <c r="G20" s="20"/>
      <c r="H20" s="20"/>
    </row>
    <row r="21" customFormat="false" ht="15" hidden="false" customHeight="true" outlineLevel="0" collapsed="false">
      <c r="A21" s="12" t="n">
        <v>18</v>
      </c>
      <c r="B21" s="22"/>
      <c r="C21" s="22"/>
      <c r="D21" s="22"/>
      <c r="E21" s="22"/>
      <c r="F21" s="22"/>
      <c r="G21" s="22"/>
      <c r="H21" s="22"/>
    </row>
    <row r="22" customFormat="false" ht="15" hidden="false" customHeight="true" outlineLevel="0" collapsed="false">
      <c r="A22" s="10" t="n">
        <v>19</v>
      </c>
      <c r="B22" s="20"/>
      <c r="C22" s="20"/>
      <c r="D22" s="20"/>
      <c r="E22" s="20"/>
      <c r="F22" s="20"/>
      <c r="G22" s="20"/>
      <c r="H22" s="20"/>
    </row>
    <row r="23" customFormat="false" ht="15" hidden="false" customHeight="true" outlineLevel="0" collapsed="false">
      <c r="A23" s="12" t="n">
        <v>20</v>
      </c>
      <c r="B23" s="22"/>
      <c r="C23" s="22"/>
      <c r="D23" s="22"/>
      <c r="E23" s="22"/>
      <c r="F23" s="22"/>
      <c r="G23" s="22"/>
      <c r="H23" s="22"/>
    </row>
    <row r="24" customFormat="false" ht="4.5" hidden="false" customHeight="true" outlineLevel="0" collapsed="false"/>
    <row r="25" customFormat="false" ht="21.75" hidden="false" customHeight="true" outlineLevel="0" collapsed="false">
      <c r="A25" s="4" t="s">
        <v>272</v>
      </c>
      <c r="B25" s="4"/>
      <c r="C25" s="4"/>
      <c r="D25" s="4"/>
      <c r="E25" s="4"/>
      <c r="F25" s="4"/>
      <c r="G25" s="4"/>
      <c r="H25" s="4"/>
    </row>
    <row r="26" customFormat="false" ht="15.75" hidden="false" customHeight="true" outlineLevel="0" collapsed="false">
      <c r="A26" s="5" t="s">
        <v>273</v>
      </c>
      <c r="B26" s="5"/>
      <c r="C26" s="5"/>
      <c r="D26" s="5"/>
      <c r="E26" s="16" t="n">
        <f aca="false">COUNTA(B4:B23)</f>
        <v>0</v>
      </c>
    </row>
    <row r="27" customFormat="false" ht="15.75" hidden="false" customHeight="true" outlineLevel="0" collapsed="false">
      <c r="A27" s="5" t="s">
        <v>274</v>
      </c>
      <c r="B27" s="5"/>
      <c r="C27" s="5"/>
      <c r="D27" s="5"/>
      <c r="E27" s="16" t="n">
        <f aca="false">COUNTIF(B4:B23,"Supply*")</f>
        <v>0</v>
      </c>
    </row>
    <row r="28" customFormat="false" ht="15.75" hidden="false" customHeight="true" outlineLevel="0" collapsed="false">
      <c r="A28" s="5" t="s">
        <v>275</v>
      </c>
      <c r="B28" s="5"/>
      <c r="C28" s="5"/>
      <c r="D28" s="5"/>
      <c r="E28" s="16" t="n">
        <f aca="false">COUNTIF(B4:B23,"Return*")</f>
        <v>0</v>
      </c>
    </row>
    <row r="29" customFormat="false" ht="15.75" hidden="false" customHeight="true" outlineLevel="0" collapsed="false">
      <c r="A29" s="5" t="s">
        <v>276</v>
      </c>
      <c r="B29" s="5"/>
      <c r="C29" s="5"/>
      <c r="D29" s="5"/>
      <c r="E29" s="16" t="n">
        <f aca="false">COUNTIF(B4:B23,"Exhaust*")</f>
        <v>0</v>
      </c>
    </row>
    <row r="30" customFormat="false" ht="4.5" hidden="false" customHeight="true" outlineLevel="0" collapsed="false">
      <c r="A30" s="23"/>
      <c r="B30" s="23"/>
      <c r="C30" s="23"/>
      <c r="D30" s="23"/>
      <c r="E30" s="23"/>
      <c r="F30" s="23"/>
      <c r="G30" s="23"/>
      <c r="H30" s="23"/>
    </row>
    <row r="31" customFormat="false" ht="18" hidden="false" customHeight="true" outlineLevel="0" collapsed="false">
      <c r="A31" s="8" t="s">
        <v>46</v>
      </c>
      <c r="B31" s="8"/>
      <c r="C31" s="8"/>
      <c r="D31" s="8"/>
      <c r="E31" s="8"/>
      <c r="F31" s="8"/>
      <c r="G31" s="8"/>
      <c r="H31" s="8"/>
    </row>
  </sheetData>
  <mergeCells count="10">
    <mergeCell ref="A1:D1"/>
    <mergeCell ref="E1:H1"/>
    <mergeCell ref="A2:H2"/>
    <mergeCell ref="A25:H25"/>
    <mergeCell ref="A26:D26"/>
    <mergeCell ref="A27:D27"/>
    <mergeCell ref="A28:D28"/>
    <mergeCell ref="A29:D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27.75" hidden="false" customHeight="true" outlineLevel="0" collapsed="false">
      <c r="A3" s="24" t="s">
        <v>277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278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9" t="s">
        <v>279</v>
      </c>
      <c r="B6" s="9" t="s">
        <v>280</v>
      </c>
      <c r="C6" s="9" t="s">
        <v>178</v>
      </c>
      <c r="D6" s="9" t="s">
        <v>53</v>
      </c>
      <c r="E6" s="9" t="s">
        <v>281</v>
      </c>
      <c r="F6" s="9" t="s">
        <v>282</v>
      </c>
      <c r="G6" s="9" t="s">
        <v>283</v>
      </c>
      <c r="H6" s="9" t="s">
        <v>284</v>
      </c>
    </row>
    <row r="7" customFormat="false" ht="15.75" hidden="false" customHeight="true" outlineLevel="0" collapsed="false">
      <c r="A7" s="19" t="s">
        <v>285</v>
      </c>
      <c r="B7" s="10"/>
      <c r="C7" s="10"/>
      <c r="D7" s="10"/>
      <c r="E7" s="10"/>
      <c r="F7" s="10"/>
      <c r="G7" s="10"/>
      <c r="H7" s="10"/>
    </row>
    <row r="8" customFormat="false" ht="15.75" hidden="false" customHeight="true" outlineLevel="0" collapsed="false">
      <c r="A8" s="19" t="s">
        <v>286</v>
      </c>
      <c r="B8" s="12"/>
      <c r="C8" s="12"/>
      <c r="D8" s="12"/>
      <c r="E8" s="12"/>
      <c r="F8" s="12"/>
      <c r="G8" s="12"/>
      <c r="H8" s="12"/>
    </row>
    <row r="9" customFormat="false" ht="15.75" hidden="false" customHeight="true" outlineLevel="0" collapsed="false">
      <c r="A9" s="19" t="s">
        <v>287</v>
      </c>
      <c r="B9" s="10"/>
      <c r="C9" s="10"/>
      <c r="D9" s="10"/>
      <c r="E9" s="10"/>
      <c r="F9" s="10"/>
      <c r="G9" s="10"/>
      <c r="H9" s="10"/>
    </row>
    <row r="10" customFormat="false" ht="15.75" hidden="false" customHeight="true" outlineLevel="0" collapsed="false">
      <c r="A10" s="19" t="s">
        <v>288</v>
      </c>
      <c r="B10" s="12"/>
      <c r="C10" s="12"/>
      <c r="D10" s="12"/>
      <c r="E10" s="12"/>
      <c r="F10" s="12"/>
      <c r="G10" s="12"/>
      <c r="H10" s="12"/>
    </row>
    <row r="11" customFormat="false" ht="15.75" hidden="false" customHeight="true" outlineLevel="0" collapsed="false">
      <c r="A11" s="19" t="s">
        <v>289</v>
      </c>
      <c r="B11" s="10"/>
      <c r="C11" s="10"/>
      <c r="D11" s="10"/>
      <c r="E11" s="10"/>
      <c r="F11" s="10"/>
      <c r="G11" s="10"/>
      <c r="H11" s="10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290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.75" hidden="false" customHeight="true" outlineLevel="0" collapsed="false">
      <c r="A14" s="5" t="s">
        <v>291</v>
      </c>
      <c r="B14" s="5"/>
      <c r="C14" s="5"/>
      <c r="D14" s="5"/>
      <c r="E14" s="7"/>
      <c r="F14" s="7"/>
      <c r="G14" s="7"/>
      <c r="H14" s="7"/>
      <c r="I14" s="7"/>
      <c r="J14" s="7"/>
      <c r="K14" s="7"/>
      <c r="L14" s="7"/>
    </row>
    <row r="15" customFormat="false" ht="15.75" hidden="false" customHeight="true" outlineLevel="0" collapsed="false">
      <c r="A15" s="5" t="s">
        <v>292</v>
      </c>
      <c r="B15" s="5"/>
      <c r="C15" s="5"/>
      <c r="D15" s="5"/>
      <c r="E15" s="7"/>
      <c r="F15" s="7"/>
      <c r="G15" s="7"/>
      <c r="H15" s="7"/>
      <c r="I15" s="7"/>
      <c r="J15" s="7"/>
      <c r="K15" s="7"/>
      <c r="L15" s="7"/>
    </row>
    <row r="16" customFormat="false" ht="15.75" hidden="false" customHeight="true" outlineLevel="0" collapsed="false">
      <c r="A16" s="5" t="s">
        <v>293</v>
      </c>
      <c r="B16" s="5"/>
      <c r="C16" s="5"/>
      <c r="D16" s="5"/>
      <c r="E16" s="7"/>
      <c r="F16" s="7"/>
      <c r="G16" s="7"/>
      <c r="H16" s="7"/>
      <c r="I16" s="7"/>
      <c r="J16" s="7"/>
      <c r="K16" s="7"/>
      <c r="L16" s="7"/>
    </row>
    <row r="17" customFormat="false" ht="15.75" hidden="false" customHeight="true" outlineLevel="0" collapsed="false">
      <c r="A17" s="5" t="s">
        <v>294</v>
      </c>
      <c r="B17" s="5"/>
      <c r="C17" s="5"/>
      <c r="D17" s="5"/>
      <c r="E17" s="7"/>
      <c r="F17" s="7"/>
      <c r="G17" s="7"/>
      <c r="H17" s="7"/>
      <c r="I17" s="7"/>
      <c r="J17" s="7"/>
      <c r="K17" s="7"/>
      <c r="L17" s="7"/>
    </row>
    <row r="18" customFormat="false" ht="15.75" hidden="false" customHeight="true" outlineLevel="0" collapsed="false">
      <c r="A18" s="5" t="s">
        <v>295</v>
      </c>
      <c r="B18" s="5"/>
      <c r="C18" s="5"/>
      <c r="D18" s="5"/>
      <c r="E18" s="7"/>
      <c r="F18" s="7"/>
      <c r="G18" s="7"/>
      <c r="H18" s="7"/>
      <c r="I18" s="7"/>
      <c r="J18" s="7"/>
      <c r="K18" s="7"/>
      <c r="L18" s="7"/>
    </row>
    <row r="19" customFormat="false" ht="15.75" hidden="false" customHeight="true" outlineLevel="0" collapsed="false">
      <c r="A19" s="5" t="s">
        <v>296</v>
      </c>
      <c r="B19" s="5"/>
      <c r="C19" s="5"/>
      <c r="D19" s="5"/>
      <c r="E19" s="7"/>
      <c r="F19" s="7"/>
      <c r="G19" s="7"/>
      <c r="H19" s="7"/>
      <c r="I19" s="7"/>
      <c r="J19" s="7"/>
      <c r="K19" s="7"/>
      <c r="L19" s="7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4.5" hidden="false" customHeight="true" outlineLevel="0" collapsed="false"/>
    <row r="32" customFormat="false" ht="21.75" hidden="false" customHeight="true" outlineLevel="0" collapsed="false">
      <c r="A32" s="4" t="s">
        <v>298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9.5" hidden="false" customHeight="true" outlineLevel="0" collapsed="false">
      <c r="A33" s="5" t="s">
        <v>39</v>
      </c>
      <c r="B33" s="5"/>
      <c r="C33" s="5"/>
      <c r="D33" s="5" t="s">
        <v>299</v>
      </c>
      <c r="E33" s="5"/>
      <c r="F33" s="5"/>
      <c r="G33" s="5" t="s">
        <v>40</v>
      </c>
      <c r="H33" s="5"/>
      <c r="I33" s="5"/>
      <c r="J33" s="5" t="s">
        <v>41</v>
      </c>
      <c r="K33" s="5"/>
      <c r="L33" s="5"/>
    </row>
    <row r="34" customFormat="false" ht="19.5" hidden="false" customHeight="true" outlineLevel="0" collapsed="false">
      <c r="A34" s="5" t="s">
        <v>42</v>
      </c>
      <c r="B34" s="5"/>
      <c r="C34" s="5"/>
      <c r="D34" s="5" t="s">
        <v>300</v>
      </c>
      <c r="E34" s="5"/>
      <c r="F34" s="5"/>
      <c r="G34" s="5" t="s">
        <v>15</v>
      </c>
      <c r="H34" s="5"/>
      <c r="I34" s="5"/>
      <c r="J34" s="5" t="s">
        <v>301</v>
      </c>
      <c r="K34" s="5"/>
      <c r="L34" s="5"/>
    </row>
    <row r="35" customFormat="false" ht="19.5" hidden="false" customHeight="true" outlineLevel="0" collapsed="false">
      <c r="A35" s="5" t="s">
        <v>43</v>
      </c>
      <c r="B35" s="5"/>
      <c r="C35" s="5"/>
      <c r="D35" s="5" t="s">
        <v>302</v>
      </c>
      <c r="E35" s="5"/>
      <c r="F35" s="5"/>
      <c r="G35" s="5" t="s">
        <v>303</v>
      </c>
      <c r="H35" s="5"/>
      <c r="I35" s="5"/>
      <c r="J35" s="5" t="s">
        <v>41</v>
      </c>
      <c r="K35" s="5"/>
      <c r="L35" s="5"/>
    </row>
    <row r="36" customFormat="false" ht="19.5" hidden="false" customHeight="true" outlineLevel="0" collapsed="false">
      <c r="A36" s="5" t="s">
        <v>304</v>
      </c>
      <c r="B36" s="5"/>
      <c r="C36" s="5"/>
      <c r="D36" s="5" t="s">
        <v>305</v>
      </c>
      <c r="E36" s="5"/>
      <c r="F36" s="5"/>
      <c r="G36" s="5" t="s">
        <v>40</v>
      </c>
      <c r="H36" s="5"/>
      <c r="I36" s="5"/>
      <c r="J36" s="5" t="s">
        <v>306</v>
      </c>
      <c r="K36" s="5"/>
      <c r="L36" s="5"/>
    </row>
    <row r="37" customFormat="false" ht="4.5" hidden="false" customHeight="true" outlineLevel="0" collapsed="false"/>
    <row r="38" customFormat="false" ht="18" hidden="false" customHeight="true" outlineLevel="0" collapsed="false">
      <c r="A38" s="8" t="s">
        <v>46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</sheetData>
  <mergeCells count="45">
    <mergeCell ref="A1:F1"/>
    <mergeCell ref="G1:L1"/>
    <mergeCell ref="A3:L3"/>
    <mergeCell ref="A5:L5"/>
    <mergeCell ref="A13:L13"/>
    <mergeCell ref="A14:D14"/>
    <mergeCell ref="E14:L14"/>
    <mergeCell ref="A15:D15"/>
    <mergeCell ref="E15:L15"/>
    <mergeCell ref="A16:D16"/>
    <mergeCell ref="E16:L16"/>
    <mergeCell ref="A17:D17"/>
    <mergeCell ref="E17:L17"/>
    <mergeCell ref="A18:D18"/>
    <mergeCell ref="E18:L18"/>
    <mergeCell ref="A19:D19"/>
    <mergeCell ref="E19:L19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2026-03-20T12:57:46Z</dcterms:created>
  <dc:creator>openpyxl</dc:creator>
  <dc:description/>
  <dc:language>en-US</dc:language>
  <cp:lastModifiedBy/>
  <dcterms:modified xsi:type="dcterms:W3CDTF">2026-03-20T12:57:46Z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